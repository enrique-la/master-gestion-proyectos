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1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unedo365-my.sharepoint.com/personal/crozas2_alumno_uned_es/Documents/1 Academia/2. INSTITUCIONES/01I. UNAV/20210215  Máster IA (Josune Hernantes)/1 Herramientas de Gestión/"/>
    </mc:Choice>
  </mc:AlternateContent>
  <xr:revisionPtr revIDLastSave="59" documentId="8_{269FC5DA-B211-CE4F-BE6C-EFD00038E4CC}" xr6:coauthVersionLast="47" xr6:coauthVersionMax="47" xr10:uidLastSave="{47C99389-23C4-1541-9B84-2982CC47AE9C}"/>
  <bookViews>
    <workbookView xWindow="0" yWindow="500" windowWidth="28800" windowHeight="16360" tabRatio="567" activeTab="5" xr2:uid="{00000000-000D-0000-FFFF-FFFF00000000}"/>
  </bookViews>
  <sheets>
    <sheet name="Definición" sheetId="9" r:id="rId1"/>
    <sheet name="Inversiones y Costes" sheetId="11" r:id="rId2"/>
    <sheet name="Reducción Gastos" sheetId="14" r:id="rId3"/>
    <sheet name="Ingresos" sheetId="12" r:id="rId4"/>
    <sheet name="Riesgos" sheetId="5" r:id="rId5"/>
    <sheet name="ROI" sheetId="4" r:id="rId6"/>
    <sheet name="datos costes" sheetId="17" r:id="rId7"/>
    <sheet name="datos ingresos" sheetId="18" r:id="rId8"/>
  </sheets>
  <definedNames>
    <definedName name="_xlnm.Print_Area" localSheetId="0">Definición!$A$1:$J$31</definedName>
    <definedName name="_xlnm.Print_Area" localSheetId="3">Ingresos!$A$1:$CD$79</definedName>
    <definedName name="_xlnm.Print_Area" localSheetId="1">'Inversiones y Costes'!$A$1:$CR$79</definedName>
    <definedName name="_xlnm.Print_Area" localSheetId="2">'Reducción Gastos'!$A$1:$CD$79</definedName>
    <definedName name="_xlnm.Print_Area" localSheetId="4">Riesgos!$A$1:$M$85</definedName>
    <definedName name="_xlnm.Print_Area" localSheetId="5">ROI!$A$1:$S$93</definedName>
    <definedName name="Impacto">Riesgos!$I$5:$I$10</definedName>
    <definedName name="Probabilidad">Riesgos!$G$5:$G$10</definedName>
    <definedName name="_xlnm.Print_Titles" localSheetId="3">Ingresos!$A:$B</definedName>
    <definedName name="_xlnm.Print_Titles" localSheetId="1">'Inversiones y Costes'!$A:$B</definedName>
    <definedName name="_xlnm.Print_Titles" localSheetId="2">'Reducción Gastos'!$A:$B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8" i="17" l="1"/>
  <c r="E18" i="17"/>
  <c r="F18" i="17"/>
  <c r="C18" i="17"/>
  <c r="C41" i="18"/>
  <c r="D41" i="18"/>
  <c r="B41" i="18"/>
  <c r="D34" i="18"/>
  <c r="D33" i="18"/>
  <c r="D32" i="18"/>
  <c r="C26" i="18"/>
  <c r="C25" i="18"/>
  <c r="C24" i="18"/>
  <c r="B17" i="18"/>
  <c r="C17" i="18" s="1"/>
  <c r="B16" i="18"/>
  <c r="C16" i="18" s="1"/>
  <c r="B15" i="18"/>
  <c r="C15" i="18" s="1"/>
  <c r="D27" i="17"/>
  <c r="D26" i="17"/>
  <c r="D25" i="17"/>
  <c r="D24" i="17"/>
  <c r="D23" i="17"/>
  <c r="L12" i="17"/>
  <c r="K12" i="17"/>
  <c r="J12" i="17"/>
  <c r="L11" i="17"/>
  <c r="K11" i="17"/>
  <c r="J11" i="17"/>
  <c r="C27" i="18" l="1"/>
  <c r="D35" i="18"/>
  <c r="D28" i="17"/>
  <c r="C18" i="18"/>
  <c r="W4" i="11" l="1"/>
  <c r="AP4" i="11"/>
  <c r="BI4" i="11"/>
  <c r="CB4" i="11"/>
  <c r="D12" i="11"/>
  <c r="D35" i="11"/>
  <c r="D58" i="11"/>
  <c r="G12" i="11"/>
  <c r="G35" i="11"/>
  <c r="G58" i="11"/>
  <c r="J12" i="11"/>
  <c r="J35" i="11"/>
  <c r="J58" i="11"/>
  <c r="M12" i="11"/>
  <c r="M35" i="11"/>
  <c r="M58" i="11"/>
  <c r="P14" i="11"/>
  <c r="P16" i="11"/>
  <c r="P18" i="11"/>
  <c r="P20" i="11"/>
  <c r="P22" i="11"/>
  <c r="P24" i="11"/>
  <c r="P26" i="11"/>
  <c r="P28" i="11"/>
  <c r="P30" i="11"/>
  <c r="P32" i="11"/>
  <c r="P37" i="11"/>
  <c r="P39" i="11"/>
  <c r="P41" i="11"/>
  <c r="P43" i="11"/>
  <c r="P45" i="11"/>
  <c r="P47" i="11"/>
  <c r="P49" i="11"/>
  <c r="P51" i="11"/>
  <c r="P53" i="11"/>
  <c r="P55" i="11"/>
  <c r="P60" i="11"/>
  <c r="P58" i="11" s="1"/>
  <c r="P62" i="11"/>
  <c r="P64" i="11"/>
  <c r="P66" i="11"/>
  <c r="P68" i="11"/>
  <c r="P70" i="11"/>
  <c r="P72" i="11"/>
  <c r="P74" i="11"/>
  <c r="P76" i="11"/>
  <c r="P78" i="11"/>
  <c r="S12" i="11"/>
  <c r="S35" i="11"/>
  <c r="S58" i="11"/>
  <c r="W12" i="11"/>
  <c r="W9" i="11" s="1"/>
  <c r="K48" i="4" s="1"/>
  <c r="W35" i="11"/>
  <c r="W58" i="11"/>
  <c r="Z12" i="11"/>
  <c r="Z9" i="11" s="1"/>
  <c r="L48" i="4" s="1"/>
  <c r="Z35" i="11"/>
  <c r="Z58" i="11"/>
  <c r="AC12" i="11"/>
  <c r="AC9" i="11" s="1"/>
  <c r="M48" i="4" s="1"/>
  <c r="AC35" i="11"/>
  <c r="AC58" i="11"/>
  <c r="AF12" i="11"/>
  <c r="AF9" i="11" s="1"/>
  <c r="N48" i="4" s="1"/>
  <c r="AF35" i="11"/>
  <c r="AF58" i="11"/>
  <c r="AI14" i="11"/>
  <c r="AI12" i="11" s="1"/>
  <c r="AI16" i="11"/>
  <c r="AI18" i="11"/>
  <c r="AI20" i="11"/>
  <c r="AI22" i="11"/>
  <c r="AI24" i="11"/>
  <c r="AI26" i="11"/>
  <c r="AI28" i="11"/>
  <c r="AI30" i="11"/>
  <c r="AI32" i="11"/>
  <c r="AI37" i="11"/>
  <c r="AI35" i="11" s="1"/>
  <c r="AI39" i="11"/>
  <c r="AI41" i="11"/>
  <c r="AI43" i="11"/>
  <c r="AI45" i="11"/>
  <c r="AI47" i="11"/>
  <c r="AI49" i="11"/>
  <c r="AI51" i="11"/>
  <c r="AI53" i="11"/>
  <c r="AI55" i="11"/>
  <c r="AI60" i="11"/>
  <c r="AI62" i="11"/>
  <c r="AI64" i="11"/>
  <c r="AI66" i="11"/>
  <c r="AI68" i="11"/>
  <c r="AI70" i="11"/>
  <c r="AI72" i="11"/>
  <c r="AI74" i="11"/>
  <c r="AI76" i="11"/>
  <c r="AI78" i="11"/>
  <c r="AI58" i="11"/>
  <c r="AL12" i="11"/>
  <c r="AL9" i="11" s="1"/>
  <c r="P48" i="4" s="1"/>
  <c r="AL35" i="11"/>
  <c r="AL58" i="11"/>
  <c r="AP12" i="11"/>
  <c r="AP9" i="11" s="1"/>
  <c r="K65" i="4" s="1"/>
  <c r="AP35" i="11"/>
  <c r="AP58" i="11"/>
  <c r="AS12" i="11"/>
  <c r="AS9" i="11" s="1"/>
  <c r="L65" i="4" s="1"/>
  <c r="AS35" i="11"/>
  <c r="AS58" i="11"/>
  <c r="AV12" i="11"/>
  <c r="AV9" i="11" s="1"/>
  <c r="M65" i="4" s="1"/>
  <c r="AV35" i="11"/>
  <c r="AV58" i="11"/>
  <c r="AY12" i="11"/>
  <c r="AY9" i="11" s="1"/>
  <c r="N65" i="4" s="1"/>
  <c r="AY35" i="11"/>
  <c r="AY58" i="11"/>
  <c r="BB14" i="11"/>
  <c r="BB16" i="11"/>
  <c r="BB18" i="11"/>
  <c r="BB20" i="11"/>
  <c r="BB22" i="11"/>
  <c r="BB24" i="11"/>
  <c r="BB26" i="11"/>
  <c r="BB28" i="11"/>
  <c r="BB30" i="11"/>
  <c r="BB32" i="11"/>
  <c r="BB12" i="11"/>
  <c r="BB37" i="11"/>
  <c r="BB39" i="11"/>
  <c r="BB41" i="11"/>
  <c r="BB43" i="11"/>
  <c r="BB35" i="11" s="1"/>
  <c r="BB45" i="11"/>
  <c r="BB47" i="11"/>
  <c r="BB49" i="11"/>
  <c r="BB51" i="11"/>
  <c r="BB53" i="11"/>
  <c r="BB55" i="11"/>
  <c r="BB60" i="11"/>
  <c r="BB58" i="11" s="1"/>
  <c r="BB62" i="11"/>
  <c r="BB64" i="11"/>
  <c r="BB66" i="11"/>
  <c r="BB68" i="11"/>
  <c r="BB70" i="11"/>
  <c r="BB72" i="11"/>
  <c r="BB74" i="11"/>
  <c r="BB76" i="11"/>
  <c r="BB78" i="11"/>
  <c r="BE12" i="11"/>
  <c r="BE9" i="11" s="1"/>
  <c r="P65" i="4" s="1"/>
  <c r="BE35" i="11"/>
  <c r="BE58" i="11"/>
  <c r="BI12" i="11"/>
  <c r="BI9" i="11" s="1"/>
  <c r="K82" i="4" s="1"/>
  <c r="BI35" i="11"/>
  <c r="BI58" i="11"/>
  <c r="BL12" i="11"/>
  <c r="BL9" i="11" s="1"/>
  <c r="L82" i="4" s="1"/>
  <c r="BL35" i="11"/>
  <c r="BL58" i="11"/>
  <c r="BO12" i="11"/>
  <c r="BO9" i="11" s="1"/>
  <c r="M82" i="4" s="1"/>
  <c r="BO35" i="11"/>
  <c r="BO58" i="11"/>
  <c r="BR12" i="11"/>
  <c r="BR9" i="11" s="1"/>
  <c r="N82" i="4" s="1"/>
  <c r="BR35" i="11"/>
  <c r="BR58" i="11"/>
  <c r="BU14" i="11"/>
  <c r="BU12" i="11" s="1"/>
  <c r="BU16" i="11"/>
  <c r="BU18" i="11"/>
  <c r="BU20" i="11"/>
  <c r="BU22" i="11"/>
  <c r="BU24" i="11"/>
  <c r="BU26" i="11"/>
  <c r="BU28" i="11"/>
  <c r="BU30" i="11"/>
  <c r="BU32" i="11"/>
  <c r="BU37" i="11"/>
  <c r="BU35" i="11" s="1"/>
  <c r="BU39" i="11"/>
  <c r="BU41" i="11"/>
  <c r="BU43" i="11"/>
  <c r="BU45" i="11"/>
  <c r="BU47" i="11"/>
  <c r="BU49" i="11"/>
  <c r="BU51" i="11"/>
  <c r="BU53" i="11"/>
  <c r="BU55" i="11"/>
  <c r="BU60" i="11"/>
  <c r="BU62" i="11"/>
  <c r="BU64" i="11"/>
  <c r="BU66" i="11"/>
  <c r="BU68" i="11"/>
  <c r="BU70" i="11"/>
  <c r="BU72" i="11"/>
  <c r="BU74" i="11"/>
  <c r="BU76" i="11"/>
  <c r="BU78" i="11"/>
  <c r="BU58" i="11"/>
  <c r="BX12" i="11"/>
  <c r="BX9" i="11" s="1"/>
  <c r="P82" i="4" s="1"/>
  <c r="BX35" i="11"/>
  <c r="BX58" i="11"/>
  <c r="CB14" i="11"/>
  <c r="CB16" i="11"/>
  <c r="CB18" i="11"/>
  <c r="CN18" i="11" s="1"/>
  <c r="CB20" i="11"/>
  <c r="CB22" i="11"/>
  <c r="CB24" i="11"/>
  <c r="CB26" i="11"/>
  <c r="CN26" i="11" s="1"/>
  <c r="CB28" i="11"/>
  <c r="CB30" i="11"/>
  <c r="CB32" i="11"/>
  <c r="CB37" i="11"/>
  <c r="CB39" i="11"/>
  <c r="CB41" i="11"/>
  <c r="CB43" i="11"/>
  <c r="CB45" i="11"/>
  <c r="CN45" i="11" s="1"/>
  <c r="CB47" i="11"/>
  <c r="CB49" i="11"/>
  <c r="CB51" i="11"/>
  <c r="CB53" i="11"/>
  <c r="CN53" i="11" s="1"/>
  <c r="CB55" i="11"/>
  <c r="CB60" i="11"/>
  <c r="CB62" i="11"/>
  <c r="CB64" i="11"/>
  <c r="CN64" i="11" s="1"/>
  <c r="CB66" i="11"/>
  <c r="CB68" i="11"/>
  <c r="CB70" i="11"/>
  <c r="CB72" i="11"/>
  <c r="CB74" i="11"/>
  <c r="CB76" i="11"/>
  <c r="CB78" i="11"/>
  <c r="CB58" i="11"/>
  <c r="CE14" i="11"/>
  <c r="CE16" i="11"/>
  <c r="CE18" i="11"/>
  <c r="CE20" i="11"/>
  <c r="CN20" i="11" s="1"/>
  <c r="CE22" i="11"/>
  <c r="CE24" i="11"/>
  <c r="CE26" i="11"/>
  <c r="CE28" i="11"/>
  <c r="CN28" i="11" s="1"/>
  <c r="CE30" i="11"/>
  <c r="CE32" i="11"/>
  <c r="CE37" i="11"/>
  <c r="CE35" i="11" s="1"/>
  <c r="CE39" i="11"/>
  <c r="CE41" i="11"/>
  <c r="CE43" i="11"/>
  <c r="CE45" i="11"/>
  <c r="CE47" i="11"/>
  <c r="CN47" i="11" s="1"/>
  <c r="CE49" i="11"/>
  <c r="CE51" i="11"/>
  <c r="CE53" i="11"/>
  <c r="CE55" i="11"/>
  <c r="CN55" i="11" s="1"/>
  <c r="CE60" i="11"/>
  <c r="CE62" i="11"/>
  <c r="CE64" i="11"/>
  <c r="CE66" i="11"/>
  <c r="CE68" i="11"/>
  <c r="CE70" i="11"/>
  <c r="CE72" i="11"/>
  <c r="CE74" i="11"/>
  <c r="CE76" i="11"/>
  <c r="CE78" i="11"/>
  <c r="CH14" i="11"/>
  <c r="CH12" i="11" s="1"/>
  <c r="CH16" i="11"/>
  <c r="CH18" i="11"/>
  <c r="CH20" i="11"/>
  <c r="CH22" i="11"/>
  <c r="CN22" i="11" s="1"/>
  <c r="CH24" i="11"/>
  <c r="CH26" i="11"/>
  <c r="CH28" i="11"/>
  <c r="CH30" i="11"/>
  <c r="CN30" i="11" s="1"/>
  <c r="CH32" i="11"/>
  <c r="CH37" i="11"/>
  <c r="CH39" i="11"/>
  <c r="CN39" i="11" s="1"/>
  <c r="CH41" i="11"/>
  <c r="CH43" i="11"/>
  <c r="CH45" i="11"/>
  <c r="CH47" i="11"/>
  <c r="CH49" i="11"/>
  <c r="CH51" i="11"/>
  <c r="CH53" i="11"/>
  <c r="CH55" i="11"/>
  <c r="CH60" i="11"/>
  <c r="CH62" i="11"/>
  <c r="CH64" i="11"/>
  <c r="CH66" i="11"/>
  <c r="CH58" i="11" s="1"/>
  <c r="CH68" i="11"/>
  <c r="CH70" i="11"/>
  <c r="CH72" i="11"/>
  <c r="CH74" i="11"/>
  <c r="CN74" i="11" s="1"/>
  <c r="CH76" i="11"/>
  <c r="CH78" i="11"/>
  <c r="CK14" i="11"/>
  <c r="CK16" i="11"/>
  <c r="CK18" i="11"/>
  <c r="CK20" i="11"/>
  <c r="CK22" i="11"/>
  <c r="CK24" i="11"/>
  <c r="CK26" i="11"/>
  <c r="CK28" i="11"/>
  <c r="CK30" i="11"/>
  <c r="CK32" i="11"/>
  <c r="CK37" i="11"/>
  <c r="CK39" i="11"/>
  <c r="CK41" i="11"/>
  <c r="CK43" i="11"/>
  <c r="CK45" i="11"/>
  <c r="CK47" i="11"/>
  <c r="CK49" i="11"/>
  <c r="CN49" i="11" s="1"/>
  <c r="CK51" i="11"/>
  <c r="CK53" i="11"/>
  <c r="CK55" i="11"/>
  <c r="CK35" i="11"/>
  <c r="CK60" i="11"/>
  <c r="CK62" i="11"/>
  <c r="CK64" i="11"/>
  <c r="CK66" i="11"/>
  <c r="CK58" i="11" s="1"/>
  <c r="CK68" i="11"/>
  <c r="CK70" i="11"/>
  <c r="CK72" i="11"/>
  <c r="CK74" i="11"/>
  <c r="CK76" i="11"/>
  <c r="CK78" i="11"/>
  <c r="CN16" i="11"/>
  <c r="CN24" i="11"/>
  <c r="CN32" i="11"/>
  <c r="CN51" i="11"/>
  <c r="CN60" i="11"/>
  <c r="CN62" i="11"/>
  <c r="CN68" i="11"/>
  <c r="CN70" i="11"/>
  <c r="CN72" i="11"/>
  <c r="CN76" i="11"/>
  <c r="CN78" i="11"/>
  <c r="CQ14" i="11"/>
  <c r="CQ16" i="11"/>
  <c r="CQ18" i="11"/>
  <c r="CQ20" i="11"/>
  <c r="CQ22" i="11"/>
  <c r="CQ24" i="11"/>
  <c r="CQ26" i="11"/>
  <c r="CQ28" i="11"/>
  <c r="CQ30" i="11"/>
  <c r="CQ32" i="11"/>
  <c r="CQ37" i="11"/>
  <c r="CQ39" i="11"/>
  <c r="CQ41" i="11"/>
  <c r="CQ43" i="11"/>
  <c r="CQ45" i="11"/>
  <c r="CQ47" i="11"/>
  <c r="CQ49" i="11"/>
  <c r="CQ51" i="11"/>
  <c r="CQ53" i="11"/>
  <c r="CQ55" i="11"/>
  <c r="CQ60" i="11"/>
  <c r="CQ58" i="11" s="1"/>
  <c r="CQ62" i="11"/>
  <c r="CQ64" i="11"/>
  <c r="CQ66" i="11"/>
  <c r="CQ68" i="11"/>
  <c r="CQ70" i="11"/>
  <c r="CQ72" i="11"/>
  <c r="CQ74" i="11"/>
  <c r="CQ76" i="11"/>
  <c r="CQ78" i="11"/>
  <c r="D4" i="12"/>
  <c r="T4" i="12"/>
  <c r="AJ4" i="12"/>
  <c r="AZ4" i="12"/>
  <c r="BP4" i="12"/>
  <c r="D12" i="12"/>
  <c r="D35" i="12"/>
  <c r="D58" i="12"/>
  <c r="G12" i="12"/>
  <c r="G35" i="12"/>
  <c r="G58" i="12"/>
  <c r="J12" i="12"/>
  <c r="J35" i="12"/>
  <c r="J58" i="12"/>
  <c r="M12" i="12"/>
  <c r="M35" i="12"/>
  <c r="M58" i="12"/>
  <c r="P14" i="12"/>
  <c r="P16" i="12"/>
  <c r="P18" i="12"/>
  <c r="P20" i="12"/>
  <c r="P22" i="12"/>
  <c r="P24" i="12"/>
  <c r="P26" i="12"/>
  <c r="P28" i="12"/>
  <c r="P30" i="12"/>
  <c r="P32" i="12"/>
  <c r="P37" i="12"/>
  <c r="P35" i="12" s="1"/>
  <c r="P39" i="12"/>
  <c r="P41" i="12"/>
  <c r="P43" i="12"/>
  <c r="P45" i="12"/>
  <c r="P47" i="12"/>
  <c r="P49" i="12"/>
  <c r="P51" i="12"/>
  <c r="P53" i="12"/>
  <c r="P55" i="12"/>
  <c r="P60" i="12"/>
  <c r="P62" i="12"/>
  <c r="P64" i="12"/>
  <c r="P66" i="12"/>
  <c r="P68" i="12"/>
  <c r="P70" i="12"/>
  <c r="P72" i="12"/>
  <c r="P74" i="12"/>
  <c r="P76" i="12"/>
  <c r="P78" i="12"/>
  <c r="T12" i="12"/>
  <c r="T35" i="12"/>
  <c r="T58" i="12"/>
  <c r="T9" i="12"/>
  <c r="W12" i="12"/>
  <c r="W35" i="12"/>
  <c r="W58" i="12"/>
  <c r="W9" i="12"/>
  <c r="Z12" i="12"/>
  <c r="Z35" i="12"/>
  <c r="Z58" i="12"/>
  <c r="Z9" i="12"/>
  <c r="AC12" i="12"/>
  <c r="AC35" i="12"/>
  <c r="AC58" i="12"/>
  <c r="AC9" i="12"/>
  <c r="AF14" i="12"/>
  <c r="AF12" i="12" s="1"/>
  <c r="AF16" i="12"/>
  <c r="AF18" i="12"/>
  <c r="AF20" i="12"/>
  <c r="AF22" i="12"/>
  <c r="AF24" i="12"/>
  <c r="AF26" i="12"/>
  <c r="AF28" i="12"/>
  <c r="AF30" i="12"/>
  <c r="AF32" i="12"/>
  <c r="AF37" i="12"/>
  <c r="AF35" i="12" s="1"/>
  <c r="AF39" i="12"/>
  <c r="AF41" i="12"/>
  <c r="AF43" i="12"/>
  <c r="AF45" i="12"/>
  <c r="AF47" i="12"/>
  <c r="AF49" i="12"/>
  <c r="AF51" i="12"/>
  <c r="AF53" i="12"/>
  <c r="AF55" i="12"/>
  <c r="AF60" i="12"/>
  <c r="AF62" i="12"/>
  <c r="AF58" i="12" s="1"/>
  <c r="AF64" i="12"/>
  <c r="AF66" i="12"/>
  <c r="AF68" i="12"/>
  <c r="AF70" i="12"/>
  <c r="AF72" i="12"/>
  <c r="AF74" i="12"/>
  <c r="AF76" i="12"/>
  <c r="AF78" i="12"/>
  <c r="AJ12" i="12"/>
  <c r="AJ35" i="12"/>
  <c r="AJ9" i="12" s="1"/>
  <c r="K67" i="4" s="1"/>
  <c r="K71" i="4" s="1"/>
  <c r="AJ58" i="12"/>
  <c r="AM12" i="12"/>
  <c r="AM35" i="12"/>
  <c r="AM9" i="12" s="1"/>
  <c r="L67" i="4" s="1"/>
  <c r="AM58" i="12"/>
  <c r="AP12" i="12"/>
  <c r="AP35" i="12"/>
  <c r="AP9" i="12" s="1"/>
  <c r="M67" i="4" s="1"/>
  <c r="AP58" i="12"/>
  <c r="AS12" i="12"/>
  <c r="AS35" i="12"/>
  <c r="AS9" i="12" s="1"/>
  <c r="N67" i="4" s="1"/>
  <c r="N71" i="4" s="1"/>
  <c r="N72" i="4" s="1"/>
  <c r="AS58" i="12"/>
  <c r="AV14" i="12"/>
  <c r="AV16" i="12"/>
  <c r="AV12" i="12" s="1"/>
  <c r="AV18" i="12"/>
  <c r="AV20" i="12"/>
  <c r="AV22" i="12"/>
  <c r="AV24" i="12"/>
  <c r="AV26" i="12"/>
  <c r="AV28" i="12"/>
  <c r="AV30" i="12"/>
  <c r="AV32" i="12"/>
  <c r="AV37" i="12"/>
  <c r="AV39" i="12"/>
  <c r="AV41" i="12"/>
  <c r="AV43" i="12"/>
  <c r="AV45" i="12"/>
  <c r="AV47" i="12"/>
  <c r="AV49" i="12"/>
  <c r="AV51" i="12"/>
  <c r="AV53" i="12"/>
  <c r="AV55" i="12"/>
  <c r="AV35" i="12"/>
  <c r="AV60" i="12"/>
  <c r="AV58" i="12" s="1"/>
  <c r="AV62" i="12"/>
  <c r="AV64" i="12"/>
  <c r="AV66" i="12"/>
  <c r="AV68" i="12"/>
  <c r="AV70" i="12"/>
  <c r="AV72" i="12"/>
  <c r="AV74" i="12"/>
  <c r="AV76" i="12"/>
  <c r="AV78" i="12"/>
  <c r="AZ12" i="12"/>
  <c r="AZ35" i="12"/>
  <c r="AZ58" i="12"/>
  <c r="AZ9" i="12"/>
  <c r="BC12" i="12"/>
  <c r="BC35" i="12"/>
  <c r="BC58" i="12"/>
  <c r="BC9" i="12"/>
  <c r="BF12" i="12"/>
  <c r="BF35" i="12"/>
  <c r="BF58" i="12"/>
  <c r="BF9" i="12"/>
  <c r="BI12" i="12"/>
  <c r="BI35" i="12"/>
  <c r="BI58" i="12"/>
  <c r="BI9" i="12"/>
  <c r="BL14" i="12"/>
  <c r="BL12" i="12" s="1"/>
  <c r="BL16" i="12"/>
  <c r="BL18" i="12"/>
  <c r="BL20" i="12"/>
  <c r="BL22" i="12"/>
  <c r="BL24" i="12"/>
  <c r="BL26" i="12"/>
  <c r="BL28" i="12"/>
  <c r="BL30" i="12"/>
  <c r="BL32" i="12"/>
  <c r="BL37" i="12"/>
  <c r="BL35" i="12" s="1"/>
  <c r="BL39" i="12"/>
  <c r="BL41" i="12"/>
  <c r="BL43" i="12"/>
  <c r="BL45" i="12"/>
  <c r="BL47" i="12"/>
  <c r="BL49" i="12"/>
  <c r="BL51" i="12"/>
  <c r="BL53" i="12"/>
  <c r="BL55" i="12"/>
  <c r="BL60" i="12"/>
  <c r="BL62" i="12"/>
  <c r="BL58" i="12" s="1"/>
  <c r="BL64" i="12"/>
  <c r="BL66" i="12"/>
  <c r="BL68" i="12"/>
  <c r="BL70" i="12"/>
  <c r="BL72" i="12"/>
  <c r="BL74" i="12"/>
  <c r="BL76" i="12"/>
  <c r="BL78" i="12"/>
  <c r="BP14" i="12"/>
  <c r="BP16" i="12"/>
  <c r="BP18" i="12"/>
  <c r="BP20" i="12"/>
  <c r="CB20" i="12" s="1"/>
  <c r="BP22" i="12"/>
  <c r="BP24" i="12"/>
  <c r="CB24" i="12" s="1"/>
  <c r="BP26" i="12"/>
  <c r="BP28" i="12"/>
  <c r="CB28" i="12" s="1"/>
  <c r="BP30" i="12"/>
  <c r="BP32" i="12"/>
  <c r="CB32" i="12" s="1"/>
  <c r="BP37" i="12"/>
  <c r="BP35" i="12" s="1"/>
  <c r="BP39" i="12"/>
  <c r="CB39" i="12" s="1"/>
  <c r="BP41" i="12"/>
  <c r="BP43" i="12"/>
  <c r="CB43" i="12" s="1"/>
  <c r="BP45" i="12"/>
  <c r="BP47" i="12"/>
  <c r="CB47" i="12" s="1"/>
  <c r="BP49" i="12"/>
  <c r="BP51" i="12"/>
  <c r="CB51" i="12" s="1"/>
  <c r="BP53" i="12"/>
  <c r="BP55" i="12"/>
  <c r="CB55" i="12" s="1"/>
  <c r="BP60" i="12"/>
  <c r="BP62" i="12"/>
  <c r="BP64" i="12"/>
  <c r="CB64" i="12" s="1"/>
  <c r="BP66" i="12"/>
  <c r="BP68" i="12"/>
  <c r="CB68" i="12" s="1"/>
  <c r="BP70" i="12"/>
  <c r="BP72" i="12"/>
  <c r="CB72" i="12" s="1"/>
  <c r="BP74" i="12"/>
  <c r="BP76" i="12"/>
  <c r="CB76" i="12" s="1"/>
  <c r="BP78" i="12"/>
  <c r="BS14" i="12"/>
  <c r="BS16" i="12"/>
  <c r="BS18" i="12"/>
  <c r="BS20" i="12"/>
  <c r="BS22" i="12"/>
  <c r="BS24" i="12"/>
  <c r="BS26" i="12"/>
  <c r="CB26" i="12" s="1"/>
  <c r="BS28" i="12"/>
  <c r="BS30" i="12"/>
  <c r="BS32" i="12"/>
  <c r="BS37" i="12"/>
  <c r="BS35" i="12" s="1"/>
  <c r="BS39" i="12"/>
  <c r="BS41" i="12"/>
  <c r="BS43" i="12"/>
  <c r="BS45" i="12"/>
  <c r="CB45" i="12" s="1"/>
  <c r="BS47" i="12"/>
  <c r="BS49" i="12"/>
  <c r="BS51" i="12"/>
  <c r="BS53" i="12"/>
  <c r="CB53" i="12" s="1"/>
  <c r="BS55" i="12"/>
  <c r="BS60" i="12"/>
  <c r="BS62" i="12"/>
  <c r="BS64" i="12"/>
  <c r="BS66" i="12"/>
  <c r="BS68" i="12"/>
  <c r="BS70" i="12"/>
  <c r="BS72" i="12"/>
  <c r="BS74" i="12"/>
  <c r="BS76" i="12"/>
  <c r="BS78" i="12"/>
  <c r="BV14" i="12"/>
  <c r="BV16" i="12"/>
  <c r="BV18" i="12"/>
  <c r="BV20" i="12"/>
  <c r="BV22" i="12"/>
  <c r="BV24" i="12"/>
  <c r="BV26" i="12"/>
  <c r="BV28" i="12"/>
  <c r="BV30" i="12"/>
  <c r="BV32" i="12"/>
  <c r="BV37" i="12"/>
  <c r="BV39" i="12"/>
  <c r="BV35" i="12" s="1"/>
  <c r="BV41" i="12"/>
  <c r="BV43" i="12"/>
  <c r="BV45" i="12"/>
  <c r="BV47" i="12"/>
  <c r="BV49" i="12"/>
  <c r="BV51" i="12"/>
  <c r="BV53" i="12"/>
  <c r="BV55" i="12"/>
  <c r="BV60" i="12"/>
  <c r="BV62" i="12"/>
  <c r="BV64" i="12"/>
  <c r="BV66" i="12"/>
  <c r="BV68" i="12"/>
  <c r="BV70" i="12"/>
  <c r="BV72" i="12"/>
  <c r="BV74" i="12"/>
  <c r="BV76" i="12"/>
  <c r="BV78" i="12"/>
  <c r="BY14" i="12"/>
  <c r="BY16" i="12"/>
  <c r="BY18" i="12"/>
  <c r="BY20" i="12"/>
  <c r="BY22" i="12"/>
  <c r="BY24" i="12"/>
  <c r="BY26" i="12"/>
  <c r="BY28" i="12"/>
  <c r="BY30" i="12"/>
  <c r="BY32" i="12"/>
  <c r="BY37" i="12"/>
  <c r="BY39" i="12"/>
  <c r="BY41" i="12"/>
  <c r="BY43" i="12"/>
  <c r="BY45" i="12"/>
  <c r="BY47" i="12"/>
  <c r="BY49" i="12"/>
  <c r="BY51" i="12"/>
  <c r="BY53" i="12"/>
  <c r="BY55" i="12"/>
  <c r="BY35" i="12"/>
  <c r="BY60" i="12"/>
  <c r="BY62" i="12"/>
  <c r="BY64" i="12"/>
  <c r="BY66" i="12"/>
  <c r="CB66" i="12" s="1"/>
  <c r="BY68" i="12"/>
  <c r="BY70" i="12"/>
  <c r="BY72" i="12"/>
  <c r="BY74" i="12"/>
  <c r="CB74" i="12" s="1"/>
  <c r="BY76" i="12"/>
  <c r="BY78" i="12"/>
  <c r="CB22" i="12"/>
  <c r="CB30" i="12"/>
  <c r="CB41" i="12"/>
  <c r="CB49" i="12"/>
  <c r="CB70" i="12"/>
  <c r="CB78" i="12"/>
  <c r="T4" i="14"/>
  <c r="AJ4" i="14"/>
  <c r="AZ4" i="14"/>
  <c r="BP4" i="14"/>
  <c r="D12" i="14"/>
  <c r="D35" i="14"/>
  <c r="D58" i="14"/>
  <c r="G12" i="14"/>
  <c r="G35" i="14"/>
  <c r="G58" i="14"/>
  <c r="J12" i="14"/>
  <c r="J35" i="14"/>
  <c r="J58" i="14"/>
  <c r="M12" i="14"/>
  <c r="M35" i="14"/>
  <c r="M58" i="14"/>
  <c r="P14" i="14"/>
  <c r="P16" i="14"/>
  <c r="P18" i="14"/>
  <c r="P20" i="14"/>
  <c r="P22" i="14"/>
  <c r="P24" i="14"/>
  <c r="P26" i="14"/>
  <c r="P28" i="14"/>
  <c r="P30" i="14"/>
  <c r="P32" i="14"/>
  <c r="P37" i="14"/>
  <c r="P39" i="14"/>
  <c r="P41" i="14"/>
  <c r="P43" i="14"/>
  <c r="P45" i="14"/>
  <c r="P47" i="14"/>
  <c r="P49" i="14"/>
  <c r="P51" i="14"/>
  <c r="P53" i="14"/>
  <c r="P55" i="14"/>
  <c r="P60" i="14"/>
  <c r="P62" i="14"/>
  <c r="P64" i="14"/>
  <c r="P66" i="14"/>
  <c r="P68" i="14"/>
  <c r="P70" i="14"/>
  <c r="P72" i="14"/>
  <c r="P74" i="14"/>
  <c r="P76" i="14"/>
  <c r="P78" i="14"/>
  <c r="T12" i="14"/>
  <c r="T35" i="14"/>
  <c r="T9" i="14" s="1"/>
  <c r="K52" i="4" s="1"/>
  <c r="K54" i="4" s="1"/>
  <c r="T58" i="14"/>
  <c r="W12" i="14"/>
  <c r="W35" i="14"/>
  <c r="W9" i="14" s="1"/>
  <c r="L52" i="4" s="1"/>
  <c r="W58" i="14"/>
  <c r="Z12" i="14"/>
  <c r="Z35" i="14"/>
  <c r="Z9" i="14" s="1"/>
  <c r="M52" i="4" s="1"/>
  <c r="Z58" i="14"/>
  <c r="AC12" i="14"/>
  <c r="AC35" i="14"/>
  <c r="AC9" i="14" s="1"/>
  <c r="N52" i="4" s="1"/>
  <c r="AC58" i="14"/>
  <c r="AF14" i="14"/>
  <c r="AF16" i="14"/>
  <c r="AF12" i="14" s="1"/>
  <c r="AF18" i="14"/>
  <c r="AF20" i="14"/>
  <c r="AF22" i="14"/>
  <c r="AF24" i="14"/>
  <c r="AF26" i="14"/>
  <c r="AF28" i="14"/>
  <c r="AF30" i="14"/>
  <c r="AF32" i="14"/>
  <c r="AF37" i="14"/>
  <c r="AF39" i="14"/>
  <c r="AF41" i="14"/>
  <c r="AF43" i="14"/>
  <c r="AF45" i="14"/>
  <c r="AF47" i="14"/>
  <c r="AF49" i="14"/>
  <c r="AF51" i="14"/>
  <c r="AF53" i="14"/>
  <c r="AF55" i="14"/>
  <c r="AF35" i="14"/>
  <c r="AF60" i="14"/>
  <c r="AF58" i="14" s="1"/>
  <c r="AF62" i="14"/>
  <c r="AF64" i="14"/>
  <c r="AF66" i="14"/>
  <c r="AF68" i="14"/>
  <c r="AF70" i="14"/>
  <c r="AF72" i="14"/>
  <c r="AF74" i="14"/>
  <c r="AF76" i="14"/>
  <c r="AF78" i="14"/>
  <c r="AJ12" i="14"/>
  <c r="AJ35" i="14"/>
  <c r="AJ58" i="14"/>
  <c r="AJ9" i="14"/>
  <c r="AM12" i="14"/>
  <c r="AM35" i="14"/>
  <c r="AM58" i="14"/>
  <c r="AM9" i="14"/>
  <c r="AP12" i="14"/>
  <c r="AP35" i="14"/>
  <c r="AP58" i="14"/>
  <c r="AP9" i="14"/>
  <c r="AS12" i="14"/>
  <c r="AS35" i="14"/>
  <c r="AS58" i="14"/>
  <c r="AS9" i="14"/>
  <c r="AV14" i="14"/>
  <c r="AV12" i="14" s="1"/>
  <c r="AV16" i="14"/>
  <c r="AV18" i="14"/>
  <c r="AV20" i="14"/>
  <c r="AV22" i="14"/>
  <c r="AV24" i="14"/>
  <c r="AV26" i="14"/>
  <c r="AV28" i="14"/>
  <c r="AV30" i="14"/>
  <c r="AV32" i="14"/>
  <c r="AV37" i="14"/>
  <c r="AV35" i="14" s="1"/>
  <c r="AV39" i="14"/>
  <c r="AV41" i="14"/>
  <c r="AV43" i="14"/>
  <c r="AV45" i="14"/>
  <c r="AV47" i="14"/>
  <c r="AV49" i="14"/>
  <c r="AV51" i="14"/>
  <c r="AV53" i="14"/>
  <c r="AV55" i="14"/>
  <c r="AV60" i="14"/>
  <c r="AV62" i="14"/>
  <c r="AV58" i="14" s="1"/>
  <c r="AV64" i="14"/>
  <c r="AV66" i="14"/>
  <c r="AV68" i="14"/>
  <c r="AV70" i="14"/>
  <c r="AV72" i="14"/>
  <c r="AV74" i="14"/>
  <c r="AV76" i="14"/>
  <c r="AV78" i="14"/>
  <c r="AZ12" i="14"/>
  <c r="AZ35" i="14"/>
  <c r="AZ9" i="14" s="1"/>
  <c r="K86" i="4" s="1"/>
  <c r="K88" i="4" s="1"/>
  <c r="AZ58" i="14"/>
  <c r="BC12" i="14"/>
  <c r="BC35" i="14"/>
  <c r="BC9" i="14" s="1"/>
  <c r="L86" i="4" s="1"/>
  <c r="BC58" i="14"/>
  <c r="BF12" i="14"/>
  <c r="BF35" i="14"/>
  <c r="BF9" i="14" s="1"/>
  <c r="M86" i="4" s="1"/>
  <c r="BF58" i="14"/>
  <c r="BI12" i="14"/>
  <c r="BI35" i="14"/>
  <c r="BI9" i="14" s="1"/>
  <c r="N86" i="4" s="1"/>
  <c r="N88" i="4" s="1"/>
  <c r="BI58" i="14"/>
  <c r="BL14" i="14"/>
  <c r="BL16" i="14"/>
  <c r="BL12" i="14" s="1"/>
  <c r="BL9" i="14" s="1"/>
  <c r="BL18" i="14"/>
  <c r="BL20" i="14"/>
  <c r="BL22" i="14"/>
  <c r="BL24" i="14"/>
  <c r="BL26" i="14"/>
  <c r="BL28" i="14"/>
  <c r="BL30" i="14"/>
  <c r="BL32" i="14"/>
  <c r="BL37" i="14"/>
  <c r="BL39" i="14"/>
  <c r="BL41" i="14"/>
  <c r="BL43" i="14"/>
  <c r="BL45" i="14"/>
  <c r="BL47" i="14"/>
  <c r="BL49" i="14"/>
  <c r="BL51" i="14"/>
  <c r="BL53" i="14"/>
  <c r="BL55" i="14"/>
  <c r="BL35" i="14"/>
  <c r="BL60" i="14"/>
  <c r="BL58" i="14" s="1"/>
  <c r="BL62" i="14"/>
  <c r="BL64" i="14"/>
  <c r="BL66" i="14"/>
  <c r="BL68" i="14"/>
  <c r="BL70" i="14"/>
  <c r="BL72" i="14"/>
  <c r="BL74" i="14"/>
  <c r="BL76" i="14"/>
  <c r="BL78" i="14"/>
  <c r="BP14" i="14"/>
  <c r="BP16" i="14"/>
  <c r="BP18" i="14"/>
  <c r="BP20" i="14"/>
  <c r="CB20" i="14" s="1"/>
  <c r="BP22" i="14"/>
  <c r="BP24" i="14"/>
  <c r="CB24" i="14" s="1"/>
  <c r="BP26" i="14"/>
  <c r="BP28" i="14"/>
  <c r="CB28" i="14" s="1"/>
  <c r="BP30" i="14"/>
  <c r="BP32" i="14"/>
  <c r="CB32" i="14" s="1"/>
  <c r="BP37" i="14"/>
  <c r="BP39" i="14"/>
  <c r="BP35" i="14" s="1"/>
  <c r="BP41" i="14"/>
  <c r="CB41" i="14" s="1"/>
  <c r="BP43" i="14"/>
  <c r="BP45" i="14"/>
  <c r="BP47" i="14"/>
  <c r="CB47" i="14" s="1"/>
  <c r="BP49" i="14"/>
  <c r="CB49" i="14" s="1"/>
  <c r="BP51" i="14"/>
  <c r="BP53" i="14"/>
  <c r="BP55" i="14"/>
  <c r="CB55" i="14" s="1"/>
  <c r="BP60" i="14"/>
  <c r="BP62" i="14"/>
  <c r="BP64" i="14"/>
  <c r="BP66" i="14"/>
  <c r="BP68" i="14"/>
  <c r="BP70" i="14"/>
  <c r="BP72" i="14"/>
  <c r="BP74" i="14"/>
  <c r="BP76" i="14"/>
  <c r="BP78" i="14"/>
  <c r="BP58" i="14"/>
  <c r="BS14" i="14"/>
  <c r="BS16" i="14"/>
  <c r="BS18" i="14"/>
  <c r="BS20" i="14"/>
  <c r="BS22" i="14"/>
  <c r="BS24" i="14"/>
  <c r="BS26" i="14"/>
  <c r="BS28" i="14"/>
  <c r="BS30" i="14"/>
  <c r="BS32" i="14"/>
  <c r="BS37" i="14"/>
  <c r="BS39" i="14"/>
  <c r="BS41" i="14"/>
  <c r="BS43" i="14"/>
  <c r="BS45" i="14"/>
  <c r="BS47" i="14"/>
  <c r="BS49" i="14"/>
  <c r="BS51" i="14"/>
  <c r="BS53" i="14"/>
  <c r="BS55" i="14"/>
  <c r="BS60" i="14"/>
  <c r="BS62" i="14"/>
  <c r="CB62" i="14" s="1"/>
  <c r="BS64" i="14"/>
  <c r="BS66" i="14"/>
  <c r="CB66" i="14" s="1"/>
  <c r="BS68" i="14"/>
  <c r="BS70" i="14"/>
  <c r="CB70" i="14" s="1"/>
  <c r="BS72" i="14"/>
  <c r="BS74" i="14"/>
  <c r="CB74" i="14" s="1"/>
  <c r="BS76" i="14"/>
  <c r="BS78" i="14"/>
  <c r="CB78" i="14" s="1"/>
  <c r="BV14" i="14"/>
  <c r="BV16" i="14"/>
  <c r="BV18" i="14"/>
  <c r="BV20" i="14"/>
  <c r="BV22" i="14"/>
  <c r="BV24" i="14"/>
  <c r="BV26" i="14"/>
  <c r="BV28" i="14"/>
  <c r="BV30" i="14"/>
  <c r="BV32" i="14"/>
  <c r="BV37" i="14"/>
  <c r="BV39" i="14"/>
  <c r="BV41" i="14"/>
  <c r="BV43" i="14"/>
  <c r="BV45" i="14"/>
  <c r="BV47" i="14"/>
  <c r="BV49" i="14"/>
  <c r="BV51" i="14"/>
  <c r="BV53" i="14"/>
  <c r="BV55" i="14"/>
  <c r="BV60" i="14"/>
  <c r="BV62" i="14"/>
  <c r="BV64" i="14"/>
  <c r="BV66" i="14"/>
  <c r="BV68" i="14"/>
  <c r="BV70" i="14"/>
  <c r="BV72" i="14"/>
  <c r="BV74" i="14"/>
  <c r="BV76" i="14"/>
  <c r="BV78" i="14"/>
  <c r="BY14" i="14"/>
  <c r="BY16" i="14"/>
  <c r="BY18" i="14"/>
  <c r="BY20" i="14"/>
  <c r="BY22" i="14"/>
  <c r="BY24" i="14"/>
  <c r="BY26" i="14"/>
  <c r="BY28" i="14"/>
  <c r="BY30" i="14"/>
  <c r="BY32" i="14"/>
  <c r="BY37" i="14"/>
  <c r="BY39" i="14"/>
  <c r="BY41" i="14"/>
  <c r="BY43" i="14"/>
  <c r="BY45" i="14"/>
  <c r="BY47" i="14"/>
  <c r="BY49" i="14"/>
  <c r="BY51" i="14"/>
  <c r="BY53" i="14"/>
  <c r="BY55" i="14"/>
  <c r="BY60" i="14"/>
  <c r="BY62" i="14"/>
  <c r="BY64" i="14"/>
  <c r="BY66" i="14"/>
  <c r="BY68" i="14"/>
  <c r="BY70" i="14"/>
  <c r="BY72" i="14"/>
  <c r="BY74" i="14"/>
  <c r="BY76" i="14"/>
  <c r="BY78" i="14"/>
  <c r="CB22" i="14"/>
  <c r="CB26" i="14"/>
  <c r="CB30" i="14"/>
  <c r="CB43" i="14"/>
  <c r="CB45" i="14"/>
  <c r="CB51" i="14"/>
  <c r="CB53" i="14"/>
  <c r="CB64" i="14"/>
  <c r="CB68" i="14"/>
  <c r="CB72" i="14"/>
  <c r="CB76" i="14"/>
  <c r="C12" i="5"/>
  <c r="C14" i="5"/>
  <c r="I18" i="5"/>
  <c r="J18" i="5"/>
  <c r="K18" i="5"/>
  <c r="I19" i="5"/>
  <c r="J19" i="5"/>
  <c r="K19" i="5"/>
  <c r="I20" i="5"/>
  <c r="J20" i="5"/>
  <c r="K20" i="5"/>
  <c r="I21" i="5"/>
  <c r="J21" i="5"/>
  <c r="K21" i="5"/>
  <c r="I22" i="5"/>
  <c r="J22" i="5"/>
  <c r="K22" i="5"/>
  <c r="I23" i="5"/>
  <c r="J23" i="5"/>
  <c r="K23" i="5"/>
  <c r="I24" i="5"/>
  <c r="J24" i="5"/>
  <c r="K24" i="5"/>
  <c r="I25" i="5"/>
  <c r="J25" i="5"/>
  <c r="K25" i="5"/>
  <c r="I26" i="5"/>
  <c r="J26" i="5"/>
  <c r="K26" i="5"/>
  <c r="I27" i="5"/>
  <c r="J27" i="5"/>
  <c r="K27" i="5"/>
  <c r="C29" i="5"/>
  <c r="C32" i="5"/>
  <c r="I36" i="5"/>
  <c r="I47" i="5" s="1"/>
  <c r="J36" i="5"/>
  <c r="K36" i="5"/>
  <c r="I37" i="5"/>
  <c r="J37" i="5"/>
  <c r="K37" i="5"/>
  <c r="I38" i="5"/>
  <c r="J38" i="5"/>
  <c r="K38" i="5"/>
  <c r="I39" i="5"/>
  <c r="J39" i="5"/>
  <c r="J47" i="5" s="1"/>
  <c r="K39" i="5"/>
  <c r="I40" i="5"/>
  <c r="J40" i="5"/>
  <c r="K40" i="5"/>
  <c r="I41" i="5"/>
  <c r="J41" i="5"/>
  <c r="K41" i="5"/>
  <c r="K47" i="5" s="1"/>
  <c r="I42" i="5"/>
  <c r="J42" i="5"/>
  <c r="K42" i="5"/>
  <c r="I43" i="5"/>
  <c r="J43" i="5"/>
  <c r="K43" i="5"/>
  <c r="I44" i="5"/>
  <c r="J44" i="5"/>
  <c r="K44" i="5"/>
  <c r="I45" i="5"/>
  <c r="J45" i="5"/>
  <c r="K45" i="5"/>
  <c r="C47" i="5"/>
  <c r="C50" i="5"/>
  <c r="I54" i="5"/>
  <c r="J54" i="5"/>
  <c r="J65" i="5" s="1"/>
  <c r="K54" i="5"/>
  <c r="K65" i="5" s="1"/>
  <c r="I55" i="5"/>
  <c r="J55" i="5"/>
  <c r="K55" i="5"/>
  <c r="I56" i="5"/>
  <c r="J56" i="5"/>
  <c r="K56" i="5"/>
  <c r="I57" i="5"/>
  <c r="J57" i="5"/>
  <c r="K57" i="5"/>
  <c r="I58" i="5"/>
  <c r="J58" i="5"/>
  <c r="K58" i="5"/>
  <c r="I59" i="5"/>
  <c r="J59" i="5"/>
  <c r="K59" i="5"/>
  <c r="I60" i="5"/>
  <c r="I65" i="5" s="1"/>
  <c r="J60" i="5"/>
  <c r="K60" i="5"/>
  <c r="I61" i="5"/>
  <c r="J61" i="5"/>
  <c r="K61" i="5"/>
  <c r="I62" i="5"/>
  <c r="J62" i="5"/>
  <c r="K62" i="5"/>
  <c r="I63" i="5"/>
  <c r="J63" i="5"/>
  <c r="K63" i="5"/>
  <c r="C65" i="5"/>
  <c r="C68" i="5"/>
  <c r="I72" i="5"/>
  <c r="J72" i="5"/>
  <c r="K72" i="5"/>
  <c r="K83" i="5" s="1"/>
  <c r="I73" i="5"/>
  <c r="J73" i="5"/>
  <c r="K73" i="5"/>
  <c r="I74" i="5"/>
  <c r="J74" i="5"/>
  <c r="K74" i="5"/>
  <c r="I75" i="5"/>
  <c r="J75" i="5"/>
  <c r="K75" i="5"/>
  <c r="I76" i="5"/>
  <c r="J76" i="5"/>
  <c r="K76" i="5"/>
  <c r="I77" i="5"/>
  <c r="J77" i="5"/>
  <c r="K77" i="5"/>
  <c r="I78" i="5"/>
  <c r="J78" i="5"/>
  <c r="K78" i="5"/>
  <c r="I79" i="5"/>
  <c r="J79" i="5"/>
  <c r="K79" i="5"/>
  <c r="I80" i="5"/>
  <c r="J80" i="5"/>
  <c r="K80" i="5"/>
  <c r="I81" i="5"/>
  <c r="I83" i="5" s="1"/>
  <c r="J81" i="5"/>
  <c r="K81" i="5"/>
  <c r="C83" i="5"/>
  <c r="J83" i="5"/>
  <c r="D7" i="4"/>
  <c r="K50" i="4"/>
  <c r="L50" i="4"/>
  <c r="L54" i="4" s="1"/>
  <c r="M50" i="4"/>
  <c r="N50" i="4"/>
  <c r="K84" i="4"/>
  <c r="L84" i="4"/>
  <c r="M84" i="4"/>
  <c r="N84" i="4"/>
  <c r="K69" i="4"/>
  <c r="L69" i="4"/>
  <c r="M69" i="4"/>
  <c r="N69" i="4"/>
  <c r="Q21" i="4"/>
  <c r="E26" i="4"/>
  <c r="Q39" i="4"/>
  <c r="E43" i="4"/>
  <c r="Q56" i="4"/>
  <c r="E60" i="4"/>
  <c r="Q73" i="4"/>
  <c r="E77" i="4"/>
  <c r="Q90" i="4"/>
  <c r="AF9" i="12" l="1"/>
  <c r="BU9" i="11"/>
  <c r="BB9" i="11"/>
  <c r="AI9" i="11"/>
  <c r="AF9" i="14"/>
  <c r="BL9" i="12"/>
  <c r="AV9" i="14"/>
  <c r="AV9" i="12"/>
  <c r="J29" i="5"/>
  <c r="BY35" i="14"/>
  <c r="CB18" i="14"/>
  <c r="BV58" i="14"/>
  <c r="P35" i="14"/>
  <c r="BS58" i="12"/>
  <c r="CE12" i="11"/>
  <c r="I29" i="5"/>
  <c r="CB39" i="14"/>
  <c r="CB37" i="12"/>
  <c r="CB35" i="12" s="1"/>
  <c r="BV58" i="12"/>
  <c r="CQ12" i="11"/>
  <c r="CQ9" i="11" s="1"/>
  <c r="CK12" i="11"/>
  <c r="BY58" i="14"/>
  <c r="BV35" i="14"/>
  <c r="BS58" i="14"/>
  <c r="P58" i="14"/>
  <c r="D9" i="14"/>
  <c r="K35" i="4" s="1"/>
  <c r="BY58" i="12"/>
  <c r="CN37" i="11"/>
  <c r="K29" i="5"/>
  <c r="BP58" i="12"/>
  <c r="CQ35" i="11"/>
  <c r="CB12" i="11"/>
  <c r="P12" i="11"/>
  <c r="S9" i="11"/>
  <c r="P31" i="4" s="1"/>
  <c r="P13" i="4" s="1"/>
  <c r="M54" i="4"/>
  <c r="M55" i="4" s="1"/>
  <c r="N89" i="4"/>
  <c r="E65" i="4"/>
  <c r="E73" i="4" s="1"/>
  <c r="K74" i="4"/>
  <c r="L55" i="4"/>
  <c r="M71" i="4"/>
  <c r="M72" i="4" s="1"/>
  <c r="E84" i="4"/>
  <c r="E67" i="4"/>
  <c r="E50" i="4"/>
  <c r="H50" i="4" s="1"/>
  <c r="M9" i="14"/>
  <c r="N35" i="4" s="1"/>
  <c r="N17" i="4" s="1"/>
  <c r="CB60" i="14"/>
  <c r="CB58" i="14" s="1"/>
  <c r="BY12" i="12"/>
  <c r="BY9" i="12" s="1"/>
  <c r="CB62" i="12"/>
  <c r="P58" i="12"/>
  <c r="J9" i="12"/>
  <c r="M33" i="4" s="1"/>
  <c r="M15" i="4" s="1"/>
  <c r="J9" i="14"/>
  <c r="M35" i="4" s="1"/>
  <c r="M17" i="4" s="1"/>
  <c r="BV12" i="14"/>
  <c r="BV9" i="14" s="1"/>
  <c r="M9" i="11"/>
  <c r="N31" i="4" s="1"/>
  <c r="N13" i="4" s="1"/>
  <c r="CN66" i="11"/>
  <c r="CN58" i="11" s="1"/>
  <c r="CK9" i="11"/>
  <c r="CE58" i="11"/>
  <c r="G9" i="11"/>
  <c r="L31" i="4" s="1"/>
  <c r="D9" i="11"/>
  <c r="K31" i="4" s="1"/>
  <c r="K13" i="4" s="1"/>
  <c r="K91" i="4"/>
  <c r="K89" i="4"/>
  <c r="K72" i="4"/>
  <c r="E69" i="4"/>
  <c r="H69" i="4" s="1"/>
  <c r="E48" i="4"/>
  <c r="E56" i="4" s="1"/>
  <c r="E86" i="4"/>
  <c r="H86" i="4" s="1"/>
  <c r="M88" i="4"/>
  <c r="M89" i="4" s="1"/>
  <c r="E52" i="4"/>
  <c r="H52" i="4" s="1"/>
  <c r="E82" i="4"/>
  <c r="E90" i="4" s="1"/>
  <c r="G9" i="14"/>
  <c r="L35" i="4" s="1"/>
  <c r="CB37" i="14"/>
  <c r="CB35" i="14" s="1"/>
  <c r="BS35" i="14"/>
  <c r="BY12" i="14"/>
  <c r="BY9" i="14" s="1"/>
  <c r="CH35" i="11"/>
  <c r="CH9" i="11" s="1"/>
  <c r="CN14" i="11"/>
  <c r="CN12" i="11" s="1"/>
  <c r="M9" i="12"/>
  <c r="N33" i="4" s="1"/>
  <c r="N15" i="4" s="1"/>
  <c r="CB14" i="12"/>
  <c r="BV12" i="12"/>
  <c r="BV9" i="12" s="1"/>
  <c r="CB18" i="12"/>
  <c r="G9" i="12"/>
  <c r="L33" i="4" s="1"/>
  <c r="L15" i="4" s="1"/>
  <c r="BP12" i="12"/>
  <c r="BP9" i="12" s="1"/>
  <c r="CB60" i="12"/>
  <c r="CB58" i="12" s="1"/>
  <c r="D9" i="12"/>
  <c r="K33" i="4" s="1"/>
  <c r="K15" i="4" s="1"/>
  <c r="CB16" i="12"/>
  <c r="BS12" i="12"/>
  <c r="BS9" i="12" s="1"/>
  <c r="P12" i="12"/>
  <c r="K57" i="4"/>
  <c r="K55" i="4"/>
  <c r="L57" i="4"/>
  <c r="E71" i="4"/>
  <c r="H67" i="4"/>
  <c r="H71" i="4" s="1"/>
  <c r="K17" i="4"/>
  <c r="L71" i="4"/>
  <c r="L88" i="4"/>
  <c r="N54" i="4"/>
  <c r="N55" i="4" s="1"/>
  <c r="BP12" i="14"/>
  <c r="BP9" i="14" s="1"/>
  <c r="CB16" i="14"/>
  <c r="BS12" i="14"/>
  <c r="P12" i="14"/>
  <c r="P9" i="14" s="1"/>
  <c r="CB14" i="14"/>
  <c r="CN43" i="11"/>
  <c r="J9" i="11"/>
  <c r="M31" i="4" s="1"/>
  <c r="M13" i="4" s="1"/>
  <c r="P35" i="11"/>
  <c r="P9" i="11" s="1"/>
  <c r="CN41" i="11"/>
  <c r="CE9" i="11"/>
  <c r="CB35" i="11"/>
  <c r="L13" i="4"/>
  <c r="M74" i="4" l="1"/>
  <c r="H65" i="4"/>
  <c r="H73" i="4" s="1"/>
  <c r="M91" i="4"/>
  <c r="CN35" i="11"/>
  <c r="E88" i="4"/>
  <c r="CB9" i="11"/>
  <c r="H82" i="4"/>
  <c r="H90" i="4" s="1"/>
  <c r="H48" i="4"/>
  <c r="H56" i="4" s="1"/>
  <c r="H84" i="4"/>
  <c r="H88" i="4" s="1"/>
  <c r="M57" i="4"/>
  <c r="K37" i="4"/>
  <c r="E54" i="4"/>
  <c r="H54" i="4"/>
  <c r="P9" i="12"/>
  <c r="N37" i="4"/>
  <c r="N38" i="4" s="1"/>
  <c r="M37" i="4"/>
  <c r="M38" i="4" s="1"/>
  <c r="E35" i="4"/>
  <c r="H35" i="4" s="1"/>
  <c r="L37" i="4"/>
  <c r="L38" i="4" s="1"/>
  <c r="N19" i="4"/>
  <c r="N20" i="4" s="1"/>
  <c r="M19" i="4"/>
  <c r="M20" i="4" s="1"/>
  <c r="K19" i="4"/>
  <c r="K20" i="4" s="1"/>
  <c r="L17" i="4"/>
  <c r="L19" i="4" s="1"/>
  <c r="L20" i="4" s="1"/>
  <c r="BS9" i="14"/>
  <c r="CN9" i="11"/>
  <c r="E33" i="4"/>
  <c r="CB12" i="12"/>
  <c r="CB9" i="12" s="1"/>
  <c r="K40" i="4"/>
  <c r="N57" i="4"/>
  <c r="L74" i="4"/>
  <c r="L72" i="4"/>
  <c r="P74" i="4" s="1"/>
  <c r="L89" i="4"/>
  <c r="P91" i="4" s="1"/>
  <c r="L91" i="4"/>
  <c r="P57" i="4"/>
  <c r="N74" i="4"/>
  <c r="N91" i="4"/>
  <c r="CB12" i="14"/>
  <c r="CB9" i="14" s="1"/>
  <c r="E31" i="4"/>
  <c r="P22" i="4" l="1"/>
  <c r="E17" i="4"/>
  <c r="H33" i="4"/>
  <c r="E37" i="4"/>
  <c r="E39" i="4" s="1"/>
  <c r="H31" i="4"/>
  <c r="H13" i="4" s="1"/>
  <c r="M40" i="4"/>
  <c r="L40" i="4"/>
  <c r="E15" i="4"/>
  <c r="N40" i="4"/>
  <c r="K38" i="4"/>
  <c r="P40" i="4" s="1"/>
  <c r="M22" i="4"/>
  <c r="K22" i="4"/>
  <c r="L22" i="4"/>
  <c r="N22" i="4"/>
  <c r="H17" i="4"/>
  <c r="E13" i="4"/>
  <c r="E19" i="4" l="1"/>
  <c r="E21" i="4" s="1"/>
  <c r="H15" i="4"/>
  <c r="H19" i="4" s="1"/>
  <c r="H21" i="4" s="1"/>
  <c r="H37" i="4"/>
  <c r="H39" i="4" s="1"/>
</calcChain>
</file>

<file path=xl/sharedStrings.xml><?xml version="1.0" encoding="utf-8"?>
<sst xmlns="http://schemas.openxmlformats.org/spreadsheetml/2006/main" count="552" uniqueCount="146">
  <si>
    <t>Año 1</t>
  </si>
  <si>
    <t>Año 2</t>
  </si>
  <si>
    <t>Año 3</t>
  </si>
  <si>
    <t>Año 4</t>
  </si>
  <si>
    <t>Inversión</t>
  </si>
  <si>
    <t>Impacto</t>
  </si>
  <si>
    <t>Alto</t>
  </si>
  <si>
    <t>Medio</t>
  </si>
  <si>
    <t>Bajo</t>
  </si>
  <si>
    <t>Muy Alto</t>
  </si>
  <si>
    <t>Muy Bajo</t>
  </si>
  <si>
    <t xml:space="preserve">Impacto </t>
  </si>
  <si>
    <t>Coeficiente de corrección</t>
  </si>
  <si>
    <t>Probabilidad</t>
  </si>
  <si>
    <t>---</t>
  </si>
  <si>
    <r>
      <t>D</t>
    </r>
    <r>
      <rPr>
        <b/>
        <sz val="10"/>
        <rFont val="Arial"/>
        <family val="2"/>
      </rPr>
      <t xml:space="preserve"> Ingresos</t>
    </r>
  </si>
  <si>
    <r>
      <t>Ñ</t>
    </r>
    <r>
      <rPr>
        <b/>
        <sz val="10"/>
        <rFont val="Arial"/>
        <family val="2"/>
      </rPr>
      <t xml:space="preserve"> Costes</t>
    </r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</si>
  <si>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</si>
  <si>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</si>
  <si>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</si>
  <si>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</si>
  <si>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</si>
  <si>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</si>
  <si>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</si>
  <si>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</si>
  <si>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</si>
  <si>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</si>
  <si>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Número de riesgos cualificados</t>
  </si>
  <si>
    <t>Corrección</t>
  </si>
  <si>
    <t>Tipo de riesgo</t>
  </si>
  <si>
    <t>Cálculo Base</t>
  </si>
  <si>
    <t>Subproyecto 1</t>
  </si>
  <si>
    <t>Proyecto:</t>
  </si>
  <si>
    <t>Riesgo 1</t>
  </si>
  <si>
    <t>Subproyecto 2</t>
  </si>
  <si>
    <t>Subproyecto 3</t>
  </si>
  <si>
    <t>Subproyecto 4</t>
  </si>
  <si>
    <t>Inmovilizado y equipos</t>
  </si>
  <si>
    <t>ROI</t>
  </si>
  <si>
    <t>Total</t>
  </si>
  <si>
    <t>Licencias SW y SW Base</t>
  </si>
  <si>
    <t>Servicios Externos</t>
  </si>
  <si>
    <t>Descripción</t>
  </si>
  <si>
    <t>Proyecto</t>
  </si>
  <si>
    <t>EVALUACIÓN DE RIESGOS</t>
  </si>
  <si>
    <t>DÑ</t>
  </si>
  <si>
    <t>Valores</t>
  </si>
  <si>
    <r>
      <t>I</t>
    </r>
    <r>
      <rPr>
        <sz val="9"/>
        <color indexed="9"/>
        <rFont val="Arial"/>
        <family val="2"/>
      </rPr>
      <t>ngresos / Costes</t>
    </r>
  </si>
  <si>
    <t>INCREMENTO DE INGRESOS</t>
  </si>
  <si>
    <t>REDUCCIÓN DE GASTOS</t>
  </si>
  <si>
    <t>PROYECTO GLOBAL</t>
  </si>
  <si>
    <t>Incremento de ventas</t>
  </si>
  <si>
    <t>Mejora Margen Comercial</t>
  </si>
  <si>
    <t>Costes de Captación</t>
  </si>
  <si>
    <t>Costes de Estructura</t>
  </si>
  <si>
    <t>Costes Comerciales</t>
  </si>
  <si>
    <r>
      <t xml:space="preserve">TOTAL </t>
    </r>
    <r>
      <rPr>
        <b/>
        <sz val="12"/>
        <color indexed="9"/>
        <rFont val="Symbol"/>
        <family val="1"/>
        <charset val="2"/>
      </rPr>
      <t>D</t>
    </r>
    <r>
      <rPr>
        <b/>
        <sz val="12"/>
        <color indexed="9"/>
        <rFont val="Arial"/>
        <family val="2"/>
      </rPr>
      <t xml:space="preserve"> INGRESOS</t>
    </r>
  </si>
  <si>
    <r>
      <t xml:space="preserve">TOTAL </t>
    </r>
    <r>
      <rPr>
        <b/>
        <sz val="12"/>
        <color indexed="9"/>
        <rFont val="Symbol"/>
        <family val="1"/>
        <charset val="2"/>
      </rPr>
      <t>Ñ</t>
    </r>
    <r>
      <rPr>
        <b/>
        <sz val="12"/>
        <color indexed="9"/>
        <rFont val="Arial"/>
        <family val="2"/>
      </rPr>
      <t xml:space="preserve"> GASTOS</t>
    </r>
  </si>
  <si>
    <t>Objetivos</t>
  </si>
  <si>
    <t>Total Retorno</t>
  </si>
  <si>
    <t>Global Proyecto</t>
  </si>
  <si>
    <t xml:space="preserve">Año1 </t>
  </si>
  <si>
    <t>Año2</t>
  </si>
  <si>
    <t>Año3</t>
  </si>
  <si>
    <t>Año4</t>
  </si>
  <si>
    <t xml:space="preserve">Subproyecto 1:  </t>
  </si>
  <si>
    <t xml:space="preserve">Subproyecto 2:  </t>
  </si>
  <si>
    <t xml:space="preserve">Subproyecto 4:  </t>
  </si>
  <si>
    <t xml:space="preserve">Subproyecto 3:  </t>
  </si>
  <si>
    <t>Pay -Back a partir del año:</t>
  </si>
  <si>
    <t>Identificar los objetivos específicos definidos para este subproyecto y que justifican su realización.</t>
  </si>
  <si>
    <t>INVERSIONES
/ COSTES</t>
  </si>
  <si>
    <t>TOTAL INVERS. y COSTES</t>
  </si>
  <si>
    <t>RETORNO DE LA INVERSION (GLOBAL)
- ROI -</t>
  </si>
  <si>
    <t>Valor Residual</t>
  </si>
  <si>
    <t>(Fin año4)</t>
  </si>
  <si>
    <t>Nuevos Productos / Mercados</t>
  </si>
  <si>
    <t>VAN ··&gt; tasa</t>
  </si>
  <si>
    <t>Ajustado al Riesgo</t>
  </si>
  <si>
    <t>V.Residual</t>
  </si>
  <si>
    <t>[Nombre ]</t>
  </si>
  <si>
    <t>HARDWARE</t>
  </si>
  <si>
    <t>DB2</t>
  </si>
  <si>
    <t>IMB WORKLIGHT</t>
  </si>
  <si>
    <t>GIS</t>
  </si>
  <si>
    <t>SOFTWARE NAVEGACION</t>
  </si>
  <si>
    <t>TRIPMATE</t>
  </si>
  <si>
    <t>SUELDOS Y SALARIOS</t>
  </si>
  <si>
    <t>COMUNICACIONES</t>
  </si>
  <si>
    <t>ALQUILERES</t>
  </si>
  <si>
    <t>GESTORIA Y ASESOR FISCAL</t>
  </si>
  <si>
    <t>PATENTES Y MARCAS</t>
  </si>
  <si>
    <t>DESCARGAS APP PREMIUM</t>
  </si>
  <si>
    <t>VENTA BASES DE DATOS</t>
  </si>
  <si>
    <t>CUOTA PREMIUM LOCALES</t>
  </si>
  <si>
    <t>INGRESOS POR USUARIO</t>
  </si>
  <si>
    <t>CPL</t>
  </si>
  <si>
    <t>NO ALCANZAR TARGET USUARIO</t>
  </si>
  <si>
    <t>MANTENIMIIENTO Y LEASING</t>
  </si>
  <si>
    <t>INFORMES DE MERCADO</t>
  </si>
  <si>
    <t>Aplicación hibrida nativa para dispositivos moviles de Turismo que incluye las preferencias del usuario para mostrar el mejor plan de viaje.</t>
  </si>
  <si>
    <t>PLAN FINANCIERO</t>
  </si>
  <si>
    <t>INGRESOS</t>
  </si>
  <si>
    <t>USUARIOS</t>
  </si>
  <si>
    <t>AÑO 2</t>
  </si>
  <si>
    <t>AÑO 3</t>
  </si>
  <si>
    <t>AÑO 4</t>
  </si>
  <si>
    <t>USUARIOS CON INGRESOS</t>
  </si>
  <si>
    <t>APP PREMIMUM</t>
  </si>
  <si>
    <t>TARGET</t>
  </si>
  <si>
    <t>LOCALES ADHERIDOS</t>
  </si>
  <si>
    <t>CUOTA PREMIUM</t>
  </si>
  <si>
    <t>INGRESO MEDIO</t>
  </si>
  <si>
    <t>TOTAL 1</t>
  </si>
  <si>
    <t>OTROS INGRESOS</t>
  </si>
  <si>
    <t>TOTALES</t>
  </si>
  <si>
    <t>PILOTO</t>
  </si>
  <si>
    <t>AÑO 1</t>
  </si>
  <si>
    <t>COSTES COMERCIALES</t>
  </si>
  <si>
    <t>TIPO</t>
  </si>
  <si>
    <t>HARDWARE*</t>
  </si>
  <si>
    <t>COSTE UNITARIO</t>
  </si>
  <si>
    <t>SOFTWARE</t>
  </si>
  <si>
    <t>Licencia iBM workligth</t>
  </si>
  <si>
    <t>RRHH</t>
  </si>
  <si>
    <t>PUESTO</t>
  </si>
  <si>
    <t>Nº</t>
  </si>
  <si>
    <t>COSTE</t>
  </si>
  <si>
    <t>COSTE ANUAL</t>
  </si>
  <si>
    <t>Programador</t>
  </si>
  <si>
    <t>Analista Funcional</t>
  </si>
  <si>
    <t>Project  Manager</t>
  </si>
  <si>
    <t>Director Marketing</t>
  </si>
  <si>
    <t>Data Analyst</t>
  </si>
  <si>
    <t xml:space="preserve">INGRESOS POR USUARIO </t>
  </si>
  <si>
    <t>CPL/CPA</t>
  </si>
  <si>
    <t>PROMOCION Y PUBLICIDAD</t>
  </si>
  <si>
    <t>MANTENIMIENTO Y LEASING</t>
  </si>
  <si>
    <t xml:space="preserve">GESTORIA Y ASESORIA </t>
  </si>
  <si>
    <t>INVERSIÓN</t>
  </si>
  <si>
    <t>-</t>
  </si>
  <si>
    <t>Tasa de Descuento</t>
  </si>
  <si>
    <r>
      <t xml:space="preserve"> </t>
    </r>
    <r>
      <rPr>
        <sz val="14"/>
        <color theme="1"/>
        <rFont val="Symbol"/>
        <family val="1"/>
        <charset val="2"/>
      </rPr>
      <t xml:space="preserve">D </t>
    </r>
    <r>
      <rPr>
        <sz val="14"/>
        <color theme="1"/>
        <rFont val="Arial"/>
        <family val="2"/>
      </rPr>
      <t>Ingresos</t>
    </r>
  </si>
  <si>
    <r>
      <t xml:space="preserve"> </t>
    </r>
    <r>
      <rPr>
        <sz val="14"/>
        <color theme="1"/>
        <rFont val="Symbol"/>
        <family val="1"/>
        <charset val="2"/>
      </rPr>
      <t xml:space="preserve">Ñ </t>
    </r>
    <r>
      <rPr>
        <sz val="14"/>
        <color theme="1"/>
        <rFont val="Arial"/>
        <family val="2"/>
      </rPr>
      <t>Costes</t>
    </r>
  </si>
  <si>
    <r>
      <t xml:space="preserve"> </t>
    </r>
    <r>
      <rPr>
        <sz val="14"/>
        <color indexed="9"/>
        <rFont val="Symbol"/>
        <family val="1"/>
        <charset val="2"/>
      </rPr>
      <t xml:space="preserve">D </t>
    </r>
    <r>
      <rPr>
        <sz val="14"/>
        <color indexed="9"/>
        <rFont val="Arial"/>
        <family val="2"/>
      </rPr>
      <t>Ingresos</t>
    </r>
  </si>
  <si>
    <r>
      <t xml:space="preserve"> </t>
    </r>
    <r>
      <rPr>
        <sz val="14"/>
        <color indexed="9"/>
        <rFont val="Symbol"/>
        <family val="1"/>
        <charset val="2"/>
      </rPr>
      <t xml:space="preserve">Ñ </t>
    </r>
    <r>
      <rPr>
        <sz val="14"/>
        <color indexed="9"/>
        <rFont val="Arial"/>
        <family val="2"/>
      </rPr>
      <t>Costes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</si>
</sst>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#,##0\ &quot;€&quot;;\-#,##0\ &quot;€&quot;"/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\ [$€]_-;\-* #,##0.00\ [$€]_-;_-* &quot;-&quot;??\ [$€]_-;_-@_-"/>
    <numFmt numFmtId="165" formatCode="_-* #,##0\ [$€]_-;\-* #,##0\ [$€]_-;_-* &quot;-&quot;??\ [$€]_-;_-@_-"/>
    <numFmt numFmtId="166" formatCode="_(* #,##0\ &quot;pta&quot;_);_(* \(#,##0\ &quot;pta&quot;\);_(* &quot;-&quot;??\ &quot;pta&quot;_);_(@_)"/>
    <numFmt numFmtId="167" formatCode="#,##0.00\ &quot;€&quot;"/>
    <numFmt numFmtId="168" formatCode="#,##0\ &quot;€&quot;"/>
    <numFmt numFmtId="169" formatCode="0.0"/>
  </numFmts>
  <fonts count="77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0"/>
      <name val="Symbol"/>
      <family val="1"/>
      <charset val="2"/>
    </font>
    <font>
      <b/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color indexed="8"/>
      <name val="Arial"/>
      <family val="2"/>
    </font>
    <font>
      <b/>
      <sz val="12"/>
      <color indexed="9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b/>
      <u/>
      <sz val="12"/>
      <color indexed="9"/>
      <name val="Arial"/>
      <family val="2"/>
    </font>
    <font>
      <sz val="11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1"/>
      <color indexed="9"/>
      <name val="Arial"/>
      <family val="2"/>
    </font>
    <font>
      <b/>
      <sz val="9"/>
      <color indexed="9"/>
      <name val="Arial"/>
      <family val="2"/>
    </font>
    <font>
      <sz val="9"/>
      <color indexed="9"/>
      <name val="Symbol"/>
      <family val="1"/>
      <charset val="2"/>
    </font>
    <font>
      <sz val="9"/>
      <color indexed="9"/>
      <name val="Arial"/>
      <family val="2"/>
    </font>
    <font>
      <b/>
      <sz val="12"/>
      <color indexed="60"/>
      <name val="Arial"/>
      <family val="2"/>
    </font>
    <font>
      <i/>
      <u/>
      <sz val="9"/>
      <color indexed="9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b/>
      <u/>
      <sz val="12"/>
      <color indexed="42"/>
      <name val="Arial"/>
      <family val="2"/>
    </font>
    <font>
      <b/>
      <sz val="10"/>
      <color indexed="42"/>
      <name val="Arial"/>
      <family val="2"/>
    </font>
    <font>
      <b/>
      <u/>
      <sz val="12"/>
      <name val="Arial"/>
      <family val="2"/>
    </font>
    <font>
      <b/>
      <sz val="16"/>
      <color indexed="9"/>
      <name val="Arial"/>
      <family val="2"/>
    </font>
    <font>
      <b/>
      <sz val="12"/>
      <color indexed="9"/>
      <name val="Arial"/>
      <family val="2"/>
    </font>
    <font>
      <b/>
      <sz val="12"/>
      <color indexed="9"/>
      <name val="Symbol"/>
      <family val="1"/>
      <charset val="2"/>
    </font>
    <font>
      <b/>
      <i/>
      <u/>
      <sz val="14"/>
      <color indexed="9"/>
      <name val="Arial"/>
      <family val="2"/>
    </font>
    <font>
      <b/>
      <i/>
      <u/>
      <sz val="14"/>
      <name val="Arial"/>
      <family val="2"/>
    </font>
    <font>
      <b/>
      <sz val="11"/>
      <name val="Arial"/>
      <family val="2"/>
    </font>
    <font>
      <b/>
      <sz val="10"/>
      <color indexed="9"/>
      <name val="Arial"/>
      <family val="2"/>
    </font>
    <font>
      <b/>
      <u/>
      <sz val="10"/>
      <color indexed="9"/>
      <name val="Arial"/>
      <family val="2"/>
    </font>
    <font>
      <sz val="9"/>
      <color indexed="9"/>
      <name val="Arial"/>
      <family val="2"/>
    </font>
    <font>
      <b/>
      <sz val="12"/>
      <color indexed="47"/>
      <name val="Arial"/>
      <family val="2"/>
    </font>
    <font>
      <sz val="10"/>
      <color indexed="47"/>
      <name val="Arial"/>
      <family val="2"/>
    </font>
    <font>
      <b/>
      <i/>
      <sz val="14"/>
      <color indexed="9"/>
      <name val="Arial"/>
      <family val="2"/>
    </font>
    <font>
      <sz val="10"/>
      <color indexed="43"/>
      <name val="Arial"/>
      <family val="2"/>
    </font>
    <font>
      <b/>
      <sz val="14"/>
      <color indexed="62"/>
      <name val="Arial"/>
      <family val="2"/>
    </font>
    <font>
      <b/>
      <i/>
      <u/>
      <sz val="12"/>
      <color indexed="60"/>
      <name val="Arial"/>
      <family val="2"/>
    </font>
    <font>
      <b/>
      <i/>
      <u/>
      <sz val="12"/>
      <color indexed="43"/>
      <name val="Arial"/>
      <family val="2"/>
    </font>
    <font>
      <sz val="12"/>
      <color indexed="60"/>
      <name val="Arial"/>
      <family val="2"/>
    </font>
    <font>
      <sz val="12"/>
      <color indexed="43"/>
      <name val="Arial"/>
      <family val="2"/>
    </font>
    <font>
      <b/>
      <sz val="10"/>
      <color indexed="60"/>
      <name val="Arial"/>
      <family val="2"/>
    </font>
    <font>
      <b/>
      <sz val="10"/>
      <color indexed="60"/>
      <name val="Arial"/>
      <family val="2"/>
    </font>
    <font>
      <b/>
      <i/>
      <u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u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i/>
      <u/>
      <sz val="12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Arial"/>
    </font>
    <font>
      <b/>
      <sz val="14"/>
      <color theme="3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i/>
      <sz val="14"/>
      <color theme="1"/>
      <name val="Arial"/>
      <family val="2"/>
    </font>
    <font>
      <sz val="14"/>
      <color theme="1"/>
      <name val="Symbol"/>
      <family val="1"/>
      <charset val="2"/>
    </font>
    <font>
      <i/>
      <u/>
      <sz val="14"/>
      <color theme="1"/>
      <name val="Arial"/>
      <family val="2"/>
    </font>
    <font>
      <sz val="14"/>
      <color indexed="47"/>
      <name val="Arial"/>
      <family val="2"/>
    </font>
    <font>
      <sz val="14"/>
      <color indexed="9"/>
      <name val="Symbol"/>
      <family val="1"/>
      <charset val="2"/>
    </font>
    <font>
      <sz val="14"/>
      <color indexed="9"/>
      <name val="Arial"/>
      <family val="2"/>
    </font>
    <font>
      <sz val="14"/>
      <color indexed="43"/>
      <name val="Arial"/>
      <family val="2"/>
    </font>
    <font>
      <b/>
      <sz val="14"/>
      <color rgb="FFC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42"/>
        <bgColor indexed="2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24"/>
      </patternFill>
    </fill>
    <fill>
      <patternFill patternType="solid">
        <fgColor indexed="1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7"/>
        <bgColor indexed="24"/>
      </patternFill>
    </fill>
    <fill>
      <patternFill patternType="solid">
        <fgColor indexed="44"/>
        <bgColor indexed="24"/>
      </patternFill>
    </fill>
    <fill>
      <patternFill patternType="solid">
        <fgColor indexed="43"/>
        <bgColor indexed="2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2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24"/>
      </patternFill>
    </fill>
    <fill>
      <patternFill patternType="solid">
        <fgColor indexed="19"/>
        <bgColor indexed="24"/>
      </patternFill>
    </fill>
    <fill>
      <patternFill patternType="solid">
        <fgColor indexed="52"/>
        <bgColor indexed="24"/>
      </patternFill>
    </fill>
    <fill>
      <patternFill patternType="solid">
        <fgColor indexed="54"/>
        <bgColor indexed="64"/>
      </patternFill>
    </fill>
    <fill>
      <patternFill patternType="solid">
        <fgColor indexed="60"/>
        <bgColor indexed="2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115"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55"/>
      </right>
      <top style="thin">
        <color indexed="9"/>
      </top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/>
      <right style="thin">
        <color indexed="55"/>
      </right>
      <top/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55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indexed="60"/>
      </right>
      <top/>
      <bottom/>
      <diagonal/>
    </border>
    <border>
      <left/>
      <right style="thin">
        <color indexed="43"/>
      </right>
      <top style="thin">
        <color indexed="60"/>
      </top>
      <bottom/>
      <diagonal/>
    </border>
    <border>
      <left/>
      <right style="thin">
        <color indexed="43"/>
      </right>
      <top/>
      <bottom/>
      <diagonal/>
    </border>
    <border>
      <left style="thin">
        <color indexed="60"/>
      </left>
      <right/>
      <top/>
      <bottom style="thin">
        <color indexed="43"/>
      </bottom>
      <diagonal/>
    </border>
    <border>
      <left/>
      <right/>
      <top/>
      <bottom style="thin">
        <color indexed="43"/>
      </bottom>
      <diagonal/>
    </border>
    <border>
      <left/>
      <right style="thin">
        <color indexed="43"/>
      </right>
      <top/>
      <bottom style="thin">
        <color indexed="43"/>
      </bottom>
      <diagonal/>
    </border>
    <border>
      <left style="thin">
        <color indexed="59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59"/>
      </bottom>
      <diagonal/>
    </border>
    <border>
      <left/>
      <right/>
      <top style="thick">
        <color indexed="47"/>
      </top>
      <bottom/>
      <diagonal/>
    </border>
    <border>
      <left style="thick">
        <color indexed="47"/>
      </left>
      <right/>
      <top/>
      <bottom/>
      <diagonal/>
    </border>
    <border>
      <left style="thick">
        <color indexed="47"/>
      </left>
      <right/>
      <top/>
      <bottom style="thick">
        <color indexed="47"/>
      </bottom>
      <diagonal/>
    </border>
    <border>
      <left/>
      <right style="thick">
        <color indexed="47"/>
      </right>
      <top/>
      <bottom/>
      <diagonal/>
    </border>
    <border>
      <left/>
      <right/>
      <top/>
      <bottom style="thick">
        <color indexed="47"/>
      </bottom>
      <diagonal/>
    </border>
    <border>
      <left/>
      <right style="thick">
        <color indexed="47"/>
      </right>
      <top/>
      <bottom style="thick">
        <color indexed="47"/>
      </bottom>
      <diagonal/>
    </border>
    <border>
      <left/>
      <right style="thick">
        <color indexed="47"/>
      </right>
      <top style="thick">
        <color indexed="47"/>
      </top>
      <bottom/>
      <diagonal/>
    </border>
    <border>
      <left/>
      <right style="thin">
        <color indexed="47"/>
      </right>
      <top/>
      <bottom/>
      <diagonal/>
    </border>
    <border>
      <left/>
      <right/>
      <top/>
      <bottom style="thin">
        <color indexed="60"/>
      </bottom>
      <diagonal/>
    </border>
    <border>
      <left style="thin">
        <color indexed="47"/>
      </left>
      <right style="thin">
        <color indexed="60"/>
      </right>
      <top/>
      <bottom/>
      <diagonal/>
    </border>
    <border>
      <left style="thin">
        <color indexed="60"/>
      </left>
      <right style="thin">
        <color indexed="47"/>
      </right>
      <top style="thin">
        <color indexed="60"/>
      </top>
      <bottom/>
      <diagonal/>
    </border>
    <border>
      <left style="thin">
        <color indexed="60"/>
      </left>
      <right style="thin">
        <color indexed="47"/>
      </right>
      <top/>
      <bottom/>
      <diagonal/>
    </border>
    <border>
      <left style="thin">
        <color indexed="60"/>
      </left>
      <right style="thin">
        <color indexed="47"/>
      </right>
      <top/>
      <bottom style="thin">
        <color indexed="47"/>
      </bottom>
      <diagonal/>
    </border>
    <border>
      <left/>
      <right/>
      <top/>
      <bottom style="thick">
        <color indexed="9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/>
      <top/>
      <bottom style="thin">
        <color indexed="47"/>
      </bottom>
      <diagonal/>
    </border>
    <border>
      <left/>
      <right style="thin">
        <color indexed="16"/>
      </right>
      <top style="thin">
        <color indexed="47"/>
      </top>
      <bottom/>
      <diagonal/>
    </border>
    <border>
      <left/>
      <right style="thin">
        <color indexed="16"/>
      </right>
      <top/>
      <bottom/>
      <diagonal/>
    </border>
    <border>
      <left style="thin">
        <color indexed="47"/>
      </left>
      <right/>
      <top/>
      <bottom style="thin">
        <color indexed="16"/>
      </bottom>
      <diagonal/>
    </border>
    <border>
      <left/>
      <right/>
      <top/>
      <bottom style="thin">
        <color indexed="16"/>
      </bottom>
      <diagonal/>
    </border>
    <border>
      <left/>
      <right style="thin">
        <color indexed="16"/>
      </right>
      <top/>
      <bottom style="thin">
        <color indexed="16"/>
      </bottom>
      <diagonal/>
    </border>
    <border>
      <left style="thick">
        <color indexed="47"/>
      </left>
      <right/>
      <top style="thick">
        <color indexed="47"/>
      </top>
      <bottom/>
      <diagonal/>
    </border>
    <border>
      <left/>
      <right style="thin">
        <color indexed="44"/>
      </right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/>
      <right/>
      <top style="thin">
        <color indexed="18"/>
      </top>
      <bottom/>
      <diagonal/>
    </border>
    <border>
      <left/>
      <right/>
      <top style="medium">
        <color indexed="13"/>
      </top>
      <bottom/>
      <diagonal/>
    </border>
    <border>
      <left style="thin">
        <color indexed="44"/>
      </left>
      <right/>
      <top/>
      <bottom/>
      <diagonal/>
    </border>
    <border>
      <left/>
      <right style="thin">
        <color indexed="44"/>
      </right>
      <top/>
      <bottom/>
      <diagonal/>
    </border>
    <border>
      <left style="thin">
        <color indexed="8"/>
      </left>
      <right style="thin">
        <color indexed="44"/>
      </right>
      <top/>
      <bottom/>
      <diagonal/>
    </border>
    <border>
      <left style="thin">
        <color indexed="44"/>
      </left>
      <right/>
      <top/>
      <bottom style="thin">
        <color indexed="44"/>
      </bottom>
      <diagonal/>
    </border>
    <border>
      <left/>
      <right/>
      <top style="thin">
        <color indexed="8"/>
      </top>
      <bottom style="thin">
        <color indexed="44"/>
      </bottom>
      <diagonal/>
    </border>
    <border>
      <left/>
      <right style="thin">
        <color indexed="44"/>
      </right>
      <top/>
      <bottom style="thin">
        <color indexed="44"/>
      </bottom>
      <diagonal/>
    </border>
    <border>
      <left style="thin">
        <color indexed="44"/>
      </left>
      <right/>
      <top style="thin">
        <color indexed="44"/>
      </top>
      <bottom/>
      <diagonal/>
    </border>
    <border>
      <left style="medium">
        <color indexed="9"/>
      </left>
      <right/>
      <top style="medium">
        <color indexed="9"/>
      </top>
      <bottom/>
      <diagonal/>
    </border>
    <border>
      <left/>
      <right/>
      <top style="medium">
        <color indexed="9"/>
      </top>
      <bottom/>
      <diagonal/>
    </border>
    <border>
      <left/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/>
      <top/>
      <bottom/>
      <diagonal/>
    </border>
    <border>
      <left/>
      <right style="medium">
        <color indexed="9"/>
      </right>
      <top/>
      <bottom/>
      <diagonal/>
    </border>
    <border>
      <left style="medium">
        <color indexed="9"/>
      </left>
      <right/>
      <top/>
      <bottom style="medium">
        <color indexed="9"/>
      </bottom>
      <diagonal/>
    </border>
    <border>
      <left/>
      <right/>
      <top/>
      <bottom style="medium">
        <color indexed="9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 style="thin">
        <color indexed="18"/>
      </left>
      <right style="thin">
        <color indexed="44"/>
      </right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22"/>
      </left>
      <right style="thin">
        <color indexed="8"/>
      </right>
      <top style="thin">
        <color indexed="22"/>
      </top>
      <bottom style="thin">
        <color indexed="8"/>
      </bottom>
      <diagonal/>
    </border>
    <border>
      <left/>
      <right/>
      <top/>
      <bottom style="thin">
        <color indexed="22"/>
      </bottom>
      <diagonal/>
    </border>
    <border>
      <left style="thin">
        <color indexed="8"/>
      </left>
      <right/>
      <top/>
      <bottom/>
      <diagonal/>
    </border>
    <border>
      <left style="thin">
        <color indexed="18"/>
      </left>
      <right style="thin">
        <color indexed="9"/>
      </right>
      <top style="thin">
        <color indexed="18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18"/>
      </right>
      <top style="thin">
        <color indexed="22"/>
      </top>
      <bottom style="thin">
        <color indexed="18"/>
      </bottom>
      <diagonal/>
    </border>
    <border>
      <left style="thin">
        <color indexed="8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18"/>
      </right>
      <top/>
      <bottom/>
      <diagonal/>
    </border>
    <border>
      <left style="thin">
        <color indexed="18"/>
      </left>
      <right style="thin">
        <color indexed="22"/>
      </right>
      <top style="thin">
        <color indexed="18"/>
      </top>
      <bottom style="thin">
        <color indexed="22"/>
      </bottom>
      <diagonal/>
    </border>
    <border>
      <left/>
      <right style="thin">
        <color indexed="8"/>
      </right>
      <top style="thin">
        <color indexed="22"/>
      </top>
      <bottom style="thin">
        <color indexed="8"/>
      </bottom>
      <diagonal/>
    </border>
    <border>
      <left style="thin">
        <color indexed="44"/>
      </left>
      <right style="thin">
        <color indexed="22"/>
      </right>
      <top/>
      <bottom/>
      <diagonal/>
    </border>
    <border>
      <left style="thin">
        <color indexed="18"/>
      </left>
      <right/>
      <top style="thin">
        <color indexed="18"/>
      </top>
      <bottom style="thin">
        <color indexed="22"/>
      </bottom>
      <diagonal/>
    </border>
    <border>
      <left style="thin">
        <color indexed="22"/>
      </left>
      <right style="thin">
        <color indexed="44"/>
      </right>
      <top/>
      <bottom/>
      <diagonal/>
    </border>
    <border>
      <left style="thin">
        <color indexed="22"/>
      </left>
      <right style="thin">
        <color indexed="18"/>
      </right>
      <top style="thin">
        <color indexed="22"/>
      </top>
      <bottom style="thin">
        <color indexed="18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ck">
        <color indexed="9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43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4" fontId="65" fillId="0" borderId="0" applyFont="0" applyFill="0" applyBorder="0" applyAlignment="0" applyProtection="0"/>
  </cellStyleXfs>
  <cellXfs count="435">
    <xf numFmtId="0" fontId="0" fillId="0" borderId="0" xfId="0"/>
    <xf numFmtId="0" fontId="2" fillId="2" borderId="0" xfId="0" applyFont="1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6" borderId="0" xfId="0" applyFont="1" applyFill="1" applyBorder="1" applyAlignment="1">
      <alignment horizontal="center"/>
    </xf>
    <xf numFmtId="0" fontId="0" fillId="7" borderId="0" xfId="0" applyFill="1"/>
    <xf numFmtId="0" fontId="6" fillId="0" borderId="0" xfId="0" applyFont="1"/>
    <xf numFmtId="0" fontId="8" fillId="0" borderId="0" xfId="0" applyFont="1" applyAlignment="1">
      <alignment vertical="center"/>
    </xf>
    <xf numFmtId="0" fontId="0" fillId="8" borderId="0" xfId="0" applyFill="1"/>
    <xf numFmtId="0" fontId="11" fillId="6" borderId="1" xfId="0" applyFont="1" applyFill="1" applyBorder="1" applyAlignment="1"/>
    <xf numFmtId="0" fontId="12" fillId="6" borderId="0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14" fillId="6" borderId="0" xfId="0" applyFont="1" applyFill="1" applyBorder="1" applyAlignment="1">
      <alignment horizontal="center"/>
    </xf>
    <xf numFmtId="165" fontId="12" fillId="6" borderId="2" xfId="1" applyNumberFormat="1" applyFont="1" applyFill="1" applyBorder="1" applyAlignment="1">
      <alignment horizontal="center"/>
    </xf>
    <xf numFmtId="165" fontId="10" fillId="9" borderId="2" xfId="1" applyNumberFormat="1" applyFont="1" applyFill="1" applyBorder="1" applyAlignment="1" applyProtection="1">
      <alignment horizontal="center"/>
    </xf>
    <xf numFmtId="0" fontId="17" fillId="6" borderId="0" xfId="0" applyFont="1" applyFill="1" applyBorder="1" applyAlignment="1">
      <alignment horizontal="center"/>
    </xf>
    <xf numFmtId="165" fontId="17" fillId="6" borderId="3" xfId="1" applyNumberFormat="1" applyFont="1" applyFill="1" applyBorder="1" applyAlignment="1" applyProtection="1">
      <alignment horizontal="center"/>
    </xf>
    <xf numFmtId="0" fontId="17" fillId="6" borderId="4" xfId="0" applyFont="1" applyFill="1" applyBorder="1" applyAlignment="1">
      <alignment horizontal="center"/>
    </xf>
    <xf numFmtId="165" fontId="17" fillId="6" borderId="5" xfId="1" applyNumberFormat="1" applyFont="1" applyFill="1" applyBorder="1" applyAlignment="1" applyProtection="1">
      <alignment horizontal="center"/>
    </xf>
    <xf numFmtId="165" fontId="17" fillId="6" borderId="6" xfId="1" applyNumberFormat="1" applyFont="1" applyFill="1" applyBorder="1" applyAlignment="1" applyProtection="1">
      <alignment horizontal="center"/>
    </xf>
    <xf numFmtId="0" fontId="17" fillId="6" borderId="0" xfId="0" applyFont="1" applyFill="1" applyBorder="1" applyAlignment="1" applyProtection="1">
      <alignment horizontal="center"/>
    </xf>
    <xf numFmtId="0" fontId="0" fillId="10" borderId="0" xfId="0" applyFill="1"/>
    <xf numFmtId="0" fontId="0" fillId="11" borderId="0" xfId="0" applyFill="1"/>
    <xf numFmtId="0" fontId="16" fillId="11" borderId="0" xfId="0" applyFont="1" applyFill="1"/>
    <xf numFmtId="0" fontId="20" fillId="11" borderId="0" xfId="0" applyFont="1" applyFill="1" applyAlignment="1">
      <alignment vertical="top"/>
    </xf>
    <xf numFmtId="0" fontId="16" fillId="11" borderId="0" xfId="0" applyFont="1" applyFill="1" applyAlignment="1">
      <alignment vertical="top"/>
    </xf>
    <xf numFmtId="0" fontId="0" fillId="12" borderId="0" xfId="0" applyFill="1"/>
    <xf numFmtId="0" fontId="19" fillId="12" borderId="0" xfId="0" applyFont="1" applyFill="1"/>
    <xf numFmtId="0" fontId="8" fillId="12" borderId="0" xfId="0" applyFont="1" applyFill="1" applyAlignment="1">
      <alignment vertical="center"/>
    </xf>
    <xf numFmtId="0" fontId="6" fillId="12" borderId="0" xfId="0" applyFont="1" applyFill="1"/>
    <xf numFmtId="0" fontId="7" fillId="8" borderId="7" xfId="0" applyFont="1" applyFill="1" applyBorder="1" applyAlignment="1">
      <alignment vertical="center"/>
    </xf>
    <xf numFmtId="0" fontId="8" fillId="8" borderId="8" xfId="0" applyFont="1" applyFill="1" applyBorder="1" applyAlignment="1">
      <alignment vertical="center"/>
    </xf>
    <xf numFmtId="0" fontId="0" fillId="4" borderId="9" xfId="0" applyFill="1" applyBorder="1" applyProtection="1">
      <protection locked="0"/>
    </xf>
    <xf numFmtId="0" fontId="0" fillId="4" borderId="0" xfId="0" applyFill="1" applyBorder="1" applyAlignment="1" applyProtection="1">
      <alignment horizontal="center"/>
      <protection locked="0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4" borderId="14" xfId="0" applyFill="1" applyBorder="1" applyAlignment="1" applyProtection="1">
      <alignment horizontal="center"/>
      <protection locked="0"/>
    </xf>
    <xf numFmtId="0" fontId="25" fillId="11" borderId="0" xfId="0" applyFont="1" applyFill="1" applyAlignment="1">
      <alignment horizontal="right" vertical="top"/>
    </xf>
    <xf numFmtId="0" fontId="0" fillId="13" borderId="0" xfId="0" applyFill="1"/>
    <xf numFmtId="0" fontId="17" fillId="14" borderId="0" xfId="0" applyFont="1" applyFill="1" applyBorder="1" applyAlignment="1">
      <alignment horizontal="center"/>
    </xf>
    <xf numFmtId="165" fontId="2" fillId="15" borderId="5" xfId="1" applyNumberFormat="1" applyFont="1" applyFill="1" applyBorder="1" applyAlignment="1" applyProtection="1">
      <alignment horizontal="center"/>
      <protection locked="0"/>
    </xf>
    <xf numFmtId="0" fontId="2" fillId="6" borderId="4" xfId="0" applyFont="1" applyFill="1" applyBorder="1" applyAlignment="1">
      <alignment horizontal="center"/>
    </xf>
    <xf numFmtId="165" fontId="2" fillId="6" borderId="6" xfId="1" applyNumberFormat="1" applyFont="1" applyFill="1" applyBorder="1" applyAlignment="1" applyProtection="1">
      <alignment horizontal="center"/>
    </xf>
    <xf numFmtId="165" fontId="2" fillId="6" borderId="3" xfId="1" applyNumberFormat="1" applyFont="1" applyFill="1" applyBorder="1" applyAlignment="1" applyProtection="1">
      <alignment horizontal="center"/>
    </xf>
    <xf numFmtId="0" fontId="9" fillId="2" borderId="0" xfId="0" applyFont="1" applyFill="1" applyBorder="1" applyAlignment="1">
      <alignment horizontal="left"/>
    </xf>
    <xf numFmtId="0" fontId="17" fillId="2" borderId="0" xfId="0" applyFont="1" applyFill="1" applyBorder="1" applyAlignment="1">
      <alignment horizontal="center"/>
    </xf>
    <xf numFmtId="0" fontId="11" fillId="2" borderId="1" xfId="0" applyFont="1" applyFill="1" applyBorder="1" applyAlignment="1"/>
    <xf numFmtId="0" fontId="12" fillId="2" borderId="0" xfId="0" applyFont="1" applyFill="1" applyBorder="1" applyAlignment="1">
      <alignment horizontal="center"/>
    </xf>
    <xf numFmtId="165" fontId="17" fillId="2" borderId="3" xfId="1" applyNumberFormat="1" applyFont="1" applyFill="1" applyBorder="1" applyAlignment="1" applyProtection="1">
      <alignment horizontal="center"/>
    </xf>
    <xf numFmtId="0" fontId="17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65" fontId="17" fillId="2" borderId="5" xfId="1" applyNumberFormat="1" applyFont="1" applyFill="1" applyBorder="1" applyAlignment="1" applyProtection="1">
      <alignment horizontal="center"/>
    </xf>
    <xf numFmtId="165" fontId="2" fillId="2" borderId="6" xfId="1" applyNumberFormat="1" applyFont="1" applyFill="1" applyBorder="1" applyAlignment="1" applyProtection="1">
      <alignment horizontal="center"/>
    </xf>
    <xf numFmtId="165" fontId="17" fillId="2" borderId="6" xfId="1" applyNumberFormat="1" applyFont="1" applyFill="1" applyBorder="1" applyAlignment="1" applyProtection="1">
      <alignment horizontal="center"/>
    </xf>
    <xf numFmtId="165" fontId="2" fillId="2" borderId="3" xfId="1" applyNumberFormat="1" applyFont="1" applyFill="1" applyBorder="1" applyAlignment="1" applyProtection="1">
      <alignment horizontal="center"/>
    </xf>
    <xf numFmtId="0" fontId="17" fillId="2" borderId="0" xfId="0" applyFont="1" applyFill="1" applyBorder="1" applyAlignment="1" applyProtection="1">
      <alignment horizontal="center"/>
    </xf>
    <xf numFmtId="0" fontId="1" fillId="2" borderId="0" xfId="0" applyFont="1" applyFill="1" applyBorder="1" applyAlignment="1">
      <alignment horizontal="center"/>
    </xf>
    <xf numFmtId="0" fontId="18" fillId="2" borderId="0" xfId="0" applyFont="1" applyFill="1" applyBorder="1" applyAlignment="1">
      <alignment horizontal="left"/>
    </xf>
    <xf numFmtId="0" fontId="27" fillId="2" borderId="0" xfId="0" applyFont="1" applyFill="1" applyBorder="1" applyAlignment="1">
      <alignment horizontal="center"/>
    </xf>
    <xf numFmtId="165" fontId="2" fillId="16" borderId="5" xfId="1" applyNumberFormat="1" applyFont="1" applyFill="1" applyBorder="1" applyAlignment="1" applyProtection="1">
      <alignment horizontal="center"/>
      <protection locked="0"/>
    </xf>
    <xf numFmtId="165" fontId="6" fillId="2" borderId="2" xfId="1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7" fillId="2" borderId="15" xfId="0" applyFont="1" applyFill="1" applyBorder="1" applyAlignment="1">
      <alignment horizontal="center"/>
    </xf>
    <xf numFmtId="165" fontId="10" fillId="14" borderId="16" xfId="1" applyNumberFormat="1" applyFont="1" applyFill="1" applyBorder="1" applyAlignment="1" applyProtection="1">
      <alignment horizontal="center"/>
    </xf>
    <xf numFmtId="0" fontId="1" fillId="17" borderId="0" xfId="0" applyFont="1" applyFill="1" applyProtection="1">
      <protection locked="0"/>
    </xf>
    <xf numFmtId="0" fontId="0" fillId="18" borderId="0" xfId="0" applyFill="1" applyProtection="1">
      <protection locked="0"/>
    </xf>
    <xf numFmtId="0" fontId="0" fillId="8" borderId="0" xfId="0" applyFill="1" applyProtection="1"/>
    <xf numFmtId="0" fontId="11" fillId="6" borderId="1" xfId="0" applyFont="1" applyFill="1" applyBorder="1" applyAlignment="1" applyProtection="1"/>
    <xf numFmtId="165" fontId="12" fillId="6" borderId="2" xfId="1" applyNumberFormat="1" applyFont="1" applyFill="1" applyBorder="1" applyAlignment="1" applyProtection="1">
      <alignment horizontal="center"/>
    </xf>
    <xf numFmtId="0" fontId="12" fillId="6" borderId="0" xfId="0" applyFont="1" applyFill="1" applyBorder="1" applyAlignment="1" applyProtection="1">
      <alignment horizontal="center"/>
    </xf>
    <xf numFmtId="0" fontId="12" fillId="6" borderId="1" xfId="0" applyFont="1" applyFill="1" applyBorder="1" applyAlignment="1" applyProtection="1">
      <alignment horizontal="center"/>
    </xf>
    <xf numFmtId="0" fontId="17" fillId="6" borderId="4" xfId="0" applyFont="1" applyFill="1" applyBorder="1" applyAlignment="1" applyProtection="1">
      <alignment horizontal="center"/>
    </xf>
    <xf numFmtId="0" fontId="2" fillId="6" borderId="0" xfId="0" applyFont="1" applyFill="1" applyBorder="1" applyAlignment="1" applyProtection="1">
      <alignment horizontal="center"/>
    </xf>
    <xf numFmtId="0" fontId="2" fillId="6" borderId="4" xfId="0" applyFont="1" applyFill="1" applyBorder="1" applyAlignment="1" applyProtection="1">
      <alignment horizontal="center"/>
    </xf>
    <xf numFmtId="0" fontId="0" fillId="0" borderId="0" xfId="0" applyProtection="1"/>
    <xf numFmtId="165" fontId="2" fillId="6" borderId="5" xfId="1" applyNumberFormat="1" applyFont="1" applyFill="1" applyBorder="1" applyAlignment="1" applyProtection="1">
      <alignment horizontal="center"/>
    </xf>
    <xf numFmtId="0" fontId="17" fillId="19" borderId="0" xfId="0" applyFont="1" applyFill="1" applyBorder="1" applyAlignment="1">
      <alignment horizontal="center"/>
    </xf>
    <xf numFmtId="0" fontId="0" fillId="20" borderId="0" xfId="0" applyFill="1"/>
    <xf numFmtId="0" fontId="14" fillId="19" borderId="0" xfId="0" applyFont="1" applyFill="1" applyBorder="1" applyAlignment="1">
      <alignment horizontal="center"/>
    </xf>
    <xf numFmtId="0" fontId="28" fillId="14" borderId="0" xfId="0" applyFont="1" applyFill="1" applyBorder="1" applyAlignment="1">
      <alignment horizontal="center"/>
    </xf>
    <xf numFmtId="0" fontId="29" fillId="14" borderId="0" xfId="0" applyFont="1" applyFill="1" applyBorder="1" applyAlignment="1">
      <alignment horizontal="center"/>
    </xf>
    <xf numFmtId="0" fontId="14" fillId="2" borderId="0" xfId="0" applyFont="1" applyFill="1" applyBorder="1" applyAlignment="1">
      <alignment horizontal="center"/>
    </xf>
    <xf numFmtId="165" fontId="2" fillId="2" borderId="5" xfId="1" applyNumberFormat="1" applyFont="1" applyFill="1" applyBorder="1" applyAlignment="1" applyProtection="1">
      <alignment horizontal="center"/>
    </xf>
    <xf numFmtId="0" fontId="2" fillId="21" borderId="0" xfId="0" applyFont="1" applyFill="1" applyBorder="1" applyAlignment="1">
      <alignment horizontal="center"/>
    </xf>
    <xf numFmtId="0" fontId="6" fillId="10" borderId="17" xfId="0" applyFont="1" applyFill="1" applyBorder="1"/>
    <xf numFmtId="0" fontId="0" fillId="10" borderId="18" xfId="0" applyFill="1" applyBorder="1"/>
    <xf numFmtId="0" fontId="0" fillId="10" borderId="0" xfId="0" applyFill="1" applyBorder="1"/>
    <xf numFmtId="0" fontId="0" fillId="10" borderId="19" xfId="0" applyFill="1" applyBorder="1"/>
    <xf numFmtId="2" fontId="0" fillId="10" borderId="0" xfId="0" applyNumberFormat="1" applyFill="1" applyBorder="1"/>
    <xf numFmtId="0" fontId="0" fillId="10" borderId="20" xfId="0" applyFill="1" applyBorder="1"/>
    <xf numFmtId="0" fontId="0" fillId="10" borderId="0" xfId="0" applyFill="1" applyBorder="1" applyAlignment="1">
      <alignment horizontal="center"/>
    </xf>
    <xf numFmtId="0" fontId="0" fillId="10" borderId="21" xfId="0" applyFill="1" applyBorder="1"/>
    <xf numFmtId="0" fontId="0" fillId="10" borderId="22" xfId="0" applyFill="1" applyBorder="1"/>
    <xf numFmtId="0" fontId="6" fillId="10" borderId="23" xfId="0" applyFont="1" applyFill="1" applyBorder="1"/>
    <xf numFmtId="0" fontId="0" fillId="10" borderId="24" xfId="0" applyFill="1" applyBorder="1"/>
    <xf numFmtId="0" fontId="3" fillId="10" borderId="25" xfId="0" applyFont="1" applyFill="1" applyBorder="1" applyAlignment="1">
      <alignment horizontal="center"/>
    </xf>
    <xf numFmtId="0" fontId="5" fillId="10" borderId="25" xfId="0" applyFont="1" applyFill="1" applyBorder="1" applyAlignment="1">
      <alignment horizontal="center"/>
    </xf>
    <xf numFmtId="0" fontId="0" fillId="10" borderId="26" xfId="0" applyFill="1" applyBorder="1"/>
    <xf numFmtId="9" fontId="1" fillId="22" borderId="27" xfId="2" applyFont="1" applyFill="1" applyBorder="1" applyAlignment="1" applyProtection="1">
      <alignment horizontal="center"/>
      <protection locked="0"/>
    </xf>
    <xf numFmtId="9" fontId="1" fillId="22" borderId="28" xfId="2" applyFont="1" applyFill="1" applyBorder="1" applyAlignment="1" applyProtection="1">
      <alignment horizontal="center"/>
      <protection locked="0"/>
    </xf>
    <xf numFmtId="9" fontId="1" fillId="22" borderId="29" xfId="2" applyFont="1" applyFill="1" applyBorder="1" applyAlignment="1" applyProtection="1">
      <alignment horizontal="center"/>
      <protection locked="0"/>
    </xf>
    <xf numFmtId="0" fontId="9" fillId="21" borderId="0" xfId="0" applyFont="1" applyFill="1" applyBorder="1" applyAlignment="1">
      <alignment horizontal="left"/>
    </xf>
    <xf numFmtId="0" fontId="1" fillId="21" borderId="0" xfId="0" applyFont="1" applyFill="1" applyBorder="1" applyAlignment="1">
      <alignment horizontal="center"/>
    </xf>
    <xf numFmtId="0" fontId="18" fillId="21" borderId="0" xfId="0" applyFont="1" applyFill="1" applyBorder="1" applyAlignment="1">
      <alignment horizontal="left"/>
    </xf>
    <xf numFmtId="0" fontId="17" fillId="21" borderId="0" xfId="0" applyFont="1" applyFill="1" applyBorder="1" applyAlignment="1">
      <alignment horizontal="center"/>
    </xf>
    <xf numFmtId="0" fontId="11" fillId="21" borderId="1" xfId="0" applyFont="1" applyFill="1" applyBorder="1" applyAlignment="1"/>
    <xf numFmtId="0" fontId="17" fillId="21" borderId="4" xfId="0" applyFont="1" applyFill="1" applyBorder="1" applyAlignment="1">
      <alignment horizontal="center"/>
    </xf>
    <xf numFmtId="0" fontId="6" fillId="21" borderId="0" xfId="0" applyFont="1" applyFill="1" applyBorder="1" applyAlignment="1">
      <alignment horizontal="center"/>
    </xf>
    <xf numFmtId="165" fontId="17" fillId="21" borderId="3" xfId="1" applyNumberFormat="1" applyFont="1" applyFill="1" applyBorder="1" applyAlignment="1" applyProtection="1">
      <alignment horizontal="center"/>
    </xf>
    <xf numFmtId="165" fontId="2" fillId="21" borderId="6" xfId="1" applyNumberFormat="1" applyFont="1" applyFill="1" applyBorder="1" applyAlignment="1" applyProtection="1">
      <alignment horizontal="center"/>
    </xf>
    <xf numFmtId="165" fontId="2" fillId="21" borderId="3" xfId="1" applyNumberFormat="1" applyFont="1" applyFill="1" applyBorder="1" applyAlignment="1" applyProtection="1">
      <alignment horizontal="center"/>
    </xf>
    <xf numFmtId="165" fontId="6" fillId="21" borderId="2" xfId="1" applyNumberFormat="1" applyFont="1" applyFill="1" applyBorder="1" applyAlignment="1">
      <alignment horizontal="center"/>
    </xf>
    <xf numFmtId="165" fontId="17" fillId="21" borderId="5" xfId="1" applyNumberFormat="1" applyFont="1" applyFill="1" applyBorder="1" applyAlignment="1" applyProtection="1">
      <alignment horizontal="center"/>
    </xf>
    <xf numFmtId="165" fontId="17" fillId="21" borderId="6" xfId="1" applyNumberFormat="1" applyFont="1" applyFill="1" applyBorder="1" applyAlignment="1" applyProtection="1">
      <alignment horizontal="center"/>
    </xf>
    <xf numFmtId="0" fontId="17" fillId="21" borderId="0" xfId="0" applyFont="1" applyFill="1" applyBorder="1" applyAlignment="1" applyProtection="1">
      <alignment horizontal="center"/>
    </xf>
    <xf numFmtId="0" fontId="12" fillId="21" borderId="0" xfId="0" applyFont="1" applyFill="1" applyBorder="1" applyAlignment="1">
      <alignment horizontal="center"/>
    </xf>
    <xf numFmtId="0" fontId="17" fillId="21" borderId="15" xfId="0" applyFont="1" applyFill="1" applyBorder="1" applyAlignment="1">
      <alignment horizontal="center"/>
    </xf>
    <xf numFmtId="165" fontId="10" fillId="23" borderId="16" xfId="1" applyNumberFormat="1" applyFont="1" applyFill="1" applyBorder="1" applyAlignment="1" applyProtection="1">
      <alignment horizontal="center"/>
    </xf>
    <xf numFmtId="0" fontId="17" fillId="23" borderId="0" xfId="0" applyFont="1" applyFill="1" applyBorder="1" applyAlignment="1">
      <alignment horizontal="center"/>
    </xf>
    <xf numFmtId="0" fontId="15" fillId="23" borderId="0" xfId="0" applyFont="1" applyFill="1" applyBorder="1" applyAlignment="1">
      <alignment horizontal="center"/>
    </xf>
    <xf numFmtId="0" fontId="26" fillId="23" borderId="0" xfId="0" applyFont="1" applyFill="1" applyBorder="1" applyAlignment="1">
      <alignment horizontal="center"/>
    </xf>
    <xf numFmtId="0" fontId="30" fillId="21" borderId="0" xfId="0" applyFont="1" applyFill="1" applyBorder="1" applyAlignment="1">
      <alignment horizontal="center"/>
    </xf>
    <xf numFmtId="0" fontId="18" fillId="21" borderId="0" xfId="0" applyFont="1" applyFill="1" applyBorder="1" applyAlignment="1">
      <alignment horizontal="center"/>
    </xf>
    <xf numFmtId="0" fontId="10" fillId="14" borderId="0" xfId="0" applyFont="1" applyFill="1" applyBorder="1" applyAlignment="1" applyProtection="1">
      <alignment horizontal="left"/>
      <protection locked="0"/>
    </xf>
    <xf numFmtId="0" fontId="10" fillId="23" borderId="0" xfId="0" applyFont="1" applyFill="1" applyBorder="1" applyAlignment="1" applyProtection="1">
      <alignment horizontal="left"/>
      <protection locked="0"/>
    </xf>
    <xf numFmtId="0" fontId="32" fillId="24" borderId="0" xfId="0" applyFont="1" applyFill="1" applyBorder="1" applyAlignment="1">
      <alignment horizontal="center"/>
    </xf>
    <xf numFmtId="0" fontId="19" fillId="24" borderId="0" xfId="0" applyFont="1" applyFill="1" applyBorder="1" applyAlignment="1">
      <alignment horizontal="center"/>
    </xf>
    <xf numFmtId="0" fontId="17" fillId="6" borderId="30" xfId="0" applyFont="1" applyFill="1" applyBorder="1" applyAlignment="1">
      <alignment horizontal="center"/>
    </xf>
    <xf numFmtId="165" fontId="17" fillId="6" borderId="30" xfId="1" applyNumberFormat="1" applyFont="1" applyFill="1" applyBorder="1" applyAlignment="1" applyProtection="1">
      <alignment horizontal="center"/>
    </xf>
    <xf numFmtId="0" fontId="0" fillId="8" borderId="30" xfId="0" applyFill="1" applyBorder="1"/>
    <xf numFmtId="0" fontId="0" fillId="8" borderId="30" xfId="0" applyFill="1" applyBorder="1" applyProtection="1"/>
    <xf numFmtId="0" fontId="17" fillId="6" borderId="30" xfId="0" applyFont="1" applyFill="1" applyBorder="1" applyAlignment="1" applyProtection="1">
      <alignment horizontal="center"/>
    </xf>
    <xf numFmtId="0" fontId="0" fillId="8" borderId="0" xfId="0" applyFill="1" applyAlignment="1">
      <alignment vertical="center"/>
    </xf>
    <xf numFmtId="0" fontId="11" fillId="6" borderId="1" xfId="0" applyFont="1" applyFill="1" applyBorder="1" applyAlignment="1">
      <alignment vertical="center"/>
    </xf>
    <xf numFmtId="165" fontId="12" fillId="6" borderId="2" xfId="1" applyNumberFormat="1" applyFont="1" applyFill="1" applyBorder="1" applyAlignment="1">
      <alignment horizontal="center" vertical="center"/>
    </xf>
    <xf numFmtId="0" fontId="12" fillId="6" borderId="0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7" fillId="6" borderId="0" xfId="0" applyFont="1" applyFill="1" applyBorder="1" applyAlignment="1">
      <alignment horizontal="center" vertical="center"/>
    </xf>
    <xf numFmtId="165" fontId="10" fillId="9" borderId="2" xfId="1" applyNumberFormat="1" applyFont="1" applyFill="1" applyBorder="1" applyAlignment="1" applyProtection="1">
      <alignment horizontal="center" vertical="center"/>
    </xf>
    <xf numFmtId="0" fontId="0" fillId="8" borderId="0" xfId="0" applyFill="1" applyAlignment="1" applyProtection="1">
      <alignment vertical="center"/>
    </xf>
    <xf numFmtId="0" fontId="11" fillId="6" borderId="1" xfId="0" applyFont="1" applyFill="1" applyBorder="1" applyAlignment="1" applyProtection="1">
      <alignment vertical="center"/>
    </xf>
    <xf numFmtId="0" fontId="17" fillId="6" borderId="0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9" fillId="2" borderId="30" xfId="0" applyFont="1" applyFill="1" applyBorder="1" applyAlignment="1">
      <alignment horizontal="left"/>
    </xf>
    <xf numFmtId="0" fontId="10" fillId="14" borderId="0" xfId="0" applyFont="1" applyFill="1" applyBorder="1" applyAlignment="1" applyProtection="1">
      <alignment horizontal="left" vertical="center"/>
      <protection locked="0"/>
    </xf>
    <xf numFmtId="0" fontId="11" fillId="2" borderId="1" xfId="0" applyFont="1" applyFill="1" applyBorder="1" applyAlignment="1">
      <alignment vertical="center"/>
    </xf>
    <xf numFmtId="165" fontId="12" fillId="2" borderId="2" xfId="1" applyNumberFormat="1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17" fillId="2" borderId="30" xfId="0" applyFont="1" applyFill="1" applyBorder="1" applyAlignment="1">
      <alignment horizontal="center"/>
    </xf>
    <xf numFmtId="165" fontId="17" fillId="2" borderId="30" xfId="1" applyNumberFormat="1" applyFont="1" applyFill="1" applyBorder="1" applyAlignment="1" applyProtection="1">
      <alignment horizontal="center"/>
    </xf>
    <xf numFmtId="165" fontId="10" fillId="14" borderId="2" xfId="1" applyNumberFormat="1" applyFont="1" applyFill="1" applyBorder="1" applyAlignment="1" applyProtection="1">
      <alignment horizontal="center" vertical="center"/>
    </xf>
    <xf numFmtId="165" fontId="10" fillId="23" borderId="2" xfId="1" applyNumberFormat="1" applyFont="1" applyFill="1" applyBorder="1" applyAlignment="1" applyProtection="1">
      <alignment horizontal="center" vertical="center"/>
    </xf>
    <xf numFmtId="0" fontId="11" fillId="21" borderId="1" xfId="0" applyFont="1" applyFill="1" applyBorder="1" applyAlignment="1">
      <alignment vertical="center"/>
    </xf>
    <xf numFmtId="165" fontId="12" fillId="21" borderId="2" xfId="1" applyNumberFormat="1" applyFont="1" applyFill="1" applyBorder="1" applyAlignment="1">
      <alignment horizontal="center" vertical="center"/>
    </xf>
    <xf numFmtId="0" fontId="12" fillId="21" borderId="0" xfId="0" applyFont="1" applyFill="1" applyBorder="1" applyAlignment="1">
      <alignment horizontal="center" vertical="center"/>
    </xf>
    <xf numFmtId="0" fontId="12" fillId="21" borderId="1" xfId="0" applyFont="1" applyFill="1" applyBorder="1" applyAlignment="1">
      <alignment horizontal="center" vertical="center"/>
    </xf>
    <xf numFmtId="0" fontId="17" fillId="21" borderId="0" xfId="0" applyFont="1" applyFill="1" applyBorder="1" applyAlignment="1">
      <alignment horizontal="center" vertical="center"/>
    </xf>
    <xf numFmtId="0" fontId="17" fillId="21" borderId="30" xfId="0" applyFont="1" applyFill="1" applyBorder="1" applyAlignment="1">
      <alignment horizontal="center"/>
    </xf>
    <xf numFmtId="165" fontId="17" fillId="21" borderId="30" xfId="1" applyNumberFormat="1" applyFont="1" applyFill="1" applyBorder="1" applyAlignment="1" applyProtection="1">
      <alignment horizontal="center"/>
    </xf>
    <xf numFmtId="0" fontId="9" fillId="21" borderId="30" xfId="0" applyFont="1" applyFill="1" applyBorder="1" applyAlignment="1">
      <alignment horizontal="left"/>
    </xf>
    <xf numFmtId="0" fontId="10" fillId="23" borderId="0" xfId="0" applyFont="1" applyFill="1" applyBorder="1" applyAlignment="1" applyProtection="1">
      <alignment horizontal="left" vertical="center"/>
      <protection locked="0"/>
    </xf>
    <xf numFmtId="0" fontId="13" fillId="25" borderId="0" xfId="0" applyFont="1" applyFill="1" applyBorder="1" applyAlignment="1">
      <alignment horizontal="center"/>
    </xf>
    <xf numFmtId="0" fontId="2" fillId="25" borderId="0" xfId="0" applyFont="1" applyFill="1" applyBorder="1" applyAlignment="1">
      <alignment horizontal="center"/>
    </xf>
    <xf numFmtId="0" fontId="25" fillId="11" borderId="0" xfId="0" applyFont="1" applyFill="1" applyAlignment="1">
      <alignment horizontal="left" vertical="top"/>
    </xf>
    <xf numFmtId="0" fontId="34" fillId="11" borderId="0" xfId="0" applyFont="1" applyFill="1" applyAlignment="1">
      <alignment vertical="top"/>
    </xf>
    <xf numFmtId="0" fontId="21" fillId="12" borderId="31" xfId="0" applyFont="1" applyFill="1" applyBorder="1"/>
    <xf numFmtId="0" fontId="23" fillId="12" borderId="32" xfId="0" applyFont="1" applyFill="1" applyBorder="1"/>
    <xf numFmtId="0" fontId="23" fillId="12" borderId="33" xfId="0" quotePrefix="1" applyFont="1" applyFill="1" applyBorder="1"/>
    <xf numFmtId="0" fontId="21" fillId="12" borderId="34" xfId="0" applyFont="1" applyFill="1" applyBorder="1" applyAlignment="1">
      <alignment horizontal="center"/>
    </xf>
    <xf numFmtId="0" fontId="23" fillId="12" borderId="35" xfId="0" applyFont="1" applyFill="1" applyBorder="1" applyAlignment="1">
      <alignment horizontal="center"/>
    </xf>
    <xf numFmtId="9" fontId="23" fillId="12" borderId="36" xfId="0" applyNumberFormat="1" applyFont="1" applyFill="1" applyBorder="1" applyAlignment="1" applyProtection="1">
      <alignment horizontal="center"/>
      <protection hidden="1"/>
    </xf>
    <xf numFmtId="9" fontId="23" fillId="12" borderId="34" xfId="0" applyNumberFormat="1" applyFont="1" applyFill="1" applyBorder="1" applyAlignment="1" applyProtection="1">
      <alignment horizontal="center"/>
      <protection hidden="1"/>
    </xf>
    <xf numFmtId="0" fontId="23" fillId="12" borderId="34" xfId="0" applyFont="1" applyFill="1" applyBorder="1" applyAlignment="1" applyProtection="1">
      <alignment horizontal="center"/>
      <protection hidden="1"/>
    </xf>
    <xf numFmtId="0" fontId="6" fillId="10" borderId="18" xfId="0" applyFont="1" applyFill="1" applyBorder="1"/>
    <xf numFmtId="0" fontId="6" fillId="10" borderId="0" xfId="0" applyFont="1" applyFill="1" applyBorder="1"/>
    <xf numFmtId="0" fontId="6" fillId="10" borderId="20" xfId="0" applyFont="1" applyFill="1" applyBorder="1"/>
    <xf numFmtId="0" fontId="22" fillId="12" borderId="37" xfId="0" applyFont="1" applyFill="1" applyBorder="1" applyAlignment="1">
      <alignment horizontal="center"/>
    </xf>
    <xf numFmtId="9" fontId="23" fillId="12" borderId="38" xfId="0" applyNumberFormat="1" applyFont="1" applyFill="1" applyBorder="1" applyAlignment="1">
      <alignment horizontal="center"/>
    </xf>
    <xf numFmtId="9" fontId="23" fillId="12" borderId="39" xfId="0" applyNumberFormat="1" applyFont="1" applyFill="1" applyBorder="1" applyAlignment="1">
      <alignment horizontal="center"/>
    </xf>
    <xf numFmtId="0" fontId="37" fillId="10" borderId="0" xfId="0" applyFont="1" applyFill="1" applyBorder="1"/>
    <xf numFmtId="0" fontId="37" fillId="10" borderId="0" xfId="0" applyFont="1" applyFill="1" applyBorder="1" applyAlignment="1">
      <alignment horizontal="center"/>
    </xf>
    <xf numFmtId="0" fontId="19" fillId="10" borderId="0" xfId="0" applyFont="1" applyFill="1" applyBorder="1"/>
    <xf numFmtId="0" fontId="19" fillId="10" borderId="20" xfId="0" applyFont="1" applyFill="1" applyBorder="1"/>
    <xf numFmtId="0" fontId="19" fillId="10" borderId="0" xfId="0" applyFont="1" applyFill="1" applyBorder="1" applyAlignment="1">
      <alignment horizontal="center"/>
    </xf>
    <xf numFmtId="0" fontId="3" fillId="10" borderId="40" xfId="0" applyFont="1" applyFill="1" applyBorder="1" applyAlignment="1">
      <alignment horizontal="center"/>
    </xf>
    <xf numFmtId="0" fontId="5" fillId="10" borderId="40" xfId="0" applyFont="1" applyFill="1" applyBorder="1" applyAlignment="1">
      <alignment horizontal="center"/>
    </xf>
    <xf numFmtId="9" fontId="23" fillId="12" borderId="37" xfId="0" applyNumberFormat="1" applyFont="1" applyFill="1" applyBorder="1" applyAlignment="1">
      <alignment horizontal="center"/>
    </xf>
    <xf numFmtId="0" fontId="23" fillId="12" borderId="36" xfId="0" applyFont="1" applyFill="1" applyBorder="1" applyAlignment="1" applyProtection="1">
      <alignment horizontal="center"/>
      <protection hidden="1"/>
    </xf>
    <xf numFmtId="9" fontId="23" fillId="12" borderId="32" xfId="2" applyFont="1" applyFill="1" applyBorder="1" applyAlignment="1">
      <alignment horizontal="center"/>
    </xf>
    <xf numFmtId="9" fontId="23" fillId="12" borderId="33" xfId="2" applyFont="1" applyFill="1" applyBorder="1" applyAlignment="1">
      <alignment horizontal="center"/>
    </xf>
    <xf numFmtId="0" fontId="39" fillId="12" borderId="31" xfId="0" applyFont="1" applyFill="1" applyBorder="1" applyAlignment="1">
      <alignment horizontal="center"/>
    </xf>
    <xf numFmtId="0" fontId="39" fillId="12" borderId="32" xfId="0" applyFont="1" applyFill="1" applyBorder="1" applyAlignment="1">
      <alignment horizontal="center"/>
    </xf>
    <xf numFmtId="0" fontId="39" fillId="12" borderId="33" xfId="0" applyFont="1" applyFill="1" applyBorder="1" applyAlignment="1">
      <alignment horizontal="center"/>
    </xf>
    <xf numFmtId="0" fontId="39" fillId="12" borderId="32" xfId="0" applyFont="1" applyFill="1" applyBorder="1"/>
    <xf numFmtId="0" fontId="39" fillId="12" borderId="38" xfId="0" applyFont="1" applyFill="1" applyBorder="1" applyAlignment="1">
      <alignment horizontal="center" wrapText="1"/>
    </xf>
    <xf numFmtId="0" fontId="39" fillId="12" borderId="39" xfId="0" applyFont="1" applyFill="1" applyBorder="1" applyAlignment="1">
      <alignment horizontal="center" wrapText="1"/>
    </xf>
    <xf numFmtId="2" fontId="0" fillId="10" borderId="41" xfId="0" applyNumberFormat="1" applyFill="1" applyBorder="1"/>
    <xf numFmtId="2" fontId="0" fillId="10" borderId="42" xfId="0" applyNumberFormat="1" applyFill="1" applyBorder="1"/>
    <xf numFmtId="2" fontId="0" fillId="10" borderId="43" xfId="0" applyNumberFormat="1" applyFill="1" applyBorder="1"/>
    <xf numFmtId="2" fontId="0" fillId="10" borderId="44" xfId="0" applyNumberFormat="1" applyFill="1" applyBorder="1"/>
    <xf numFmtId="2" fontId="0" fillId="10" borderId="45" xfId="0" applyNumberFormat="1" applyFill="1" applyBorder="1"/>
    <xf numFmtId="0" fontId="40" fillId="10" borderId="46" xfId="0" applyFont="1" applyFill="1" applyBorder="1"/>
    <xf numFmtId="0" fontId="0" fillId="26" borderId="0" xfId="0" applyFill="1"/>
    <xf numFmtId="0" fontId="45" fillId="19" borderId="0" xfId="0" applyFont="1" applyFill="1" applyBorder="1" applyAlignment="1">
      <alignment horizontal="center"/>
    </xf>
    <xf numFmtId="165" fontId="10" fillId="27" borderId="2" xfId="1" applyNumberFormat="1" applyFont="1" applyFill="1" applyBorder="1" applyAlignment="1" applyProtection="1">
      <alignment horizontal="center" vertical="center"/>
    </xf>
    <xf numFmtId="165" fontId="10" fillId="27" borderId="2" xfId="1" applyNumberFormat="1" applyFont="1" applyFill="1" applyBorder="1" applyAlignment="1" applyProtection="1">
      <alignment horizontal="center"/>
    </xf>
    <xf numFmtId="0" fontId="45" fillId="6" borderId="0" xfId="0" applyFont="1" applyFill="1" applyBorder="1" applyAlignment="1">
      <alignment horizontal="center"/>
    </xf>
    <xf numFmtId="0" fontId="17" fillId="9" borderId="0" xfId="0" applyFont="1" applyFill="1" applyBorder="1" applyAlignment="1">
      <alignment horizontal="center"/>
    </xf>
    <xf numFmtId="0" fontId="15" fillId="9" borderId="0" xfId="0" applyFont="1" applyFill="1" applyBorder="1" applyAlignment="1">
      <alignment horizontal="center"/>
    </xf>
    <xf numFmtId="0" fontId="26" fillId="9" borderId="0" xfId="0" applyFont="1" applyFill="1" applyBorder="1" applyAlignment="1">
      <alignment horizontal="center"/>
    </xf>
    <xf numFmtId="0" fontId="46" fillId="9" borderId="0" xfId="0" applyFont="1" applyFill="1" applyBorder="1" applyAlignment="1">
      <alignment horizontal="center"/>
    </xf>
    <xf numFmtId="0" fontId="49" fillId="6" borderId="0" xfId="0" applyFont="1" applyFill="1" applyBorder="1" applyAlignment="1" applyProtection="1">
      <alignment horizontal="center"/>
    </xf>
    <xf numFmtId="165" fontId="50" fillId="6" borderId="6" xfId="1" applyNumberFormat="1" applyFont="1" applyFill="1" applyBorder="1" applyAlignment="1" applyProtection="1">
      <alignment horizontal="center"/>
    </xf>
    <xf numFmtId="165" fontId="50" fillId="6" borderId="3" xfId="1" applyNumberFormat="1" applyFont="1" applyFill="1" applyBorder="1" applyAlignment="1" applyProtection="1">
      <alignment horizontal="center"/>
    </xf>
    <xf numFmtId="0" fontId="50" fillId="6" borderId="0" xfId="0" applyFont="1" applyFill="1" applyBorder="1" applyAlignment="1" applyProtection="1">
      <alignment horizontal="center"/>
    </xf>
    <xf numFmtId="0" fontId="17" fillId="6" borderId="82" xfId="0" applyFont="1" applyFill="1" applyBorder="1" applyAlignment="1">
      <alignment horizontal="center"/>
    </xf>
    <xf numFmtId="0" fontId="47" fillId="6" borderId="82" xfId="0" applyFont="1" applyFill="1" applyBorder="1" applyAlignment="1">
      <alignment horizontal="center"/>
    </xf>
    <xf numFmtId="0" fontId="0" fillId="8" borderId="82" xfId="0" applyFill="1" applyBorder="1"/>
    <xf numFmtId="0" fontId="17" fillId="19" borderId="82" xfId="0" applyFont="1" applyFill="1" applyBorder="1" applyAlignment="1">
      <alignment horizontal="center"/>
    </xf>
    <xf numFmtId="0" fontId="47" fillId="19" borderId="82" xfId="0" applyFont="1" applyFill="1" applyBorder="1" applyAlignment="1">
      <alignment horizontal="center"/>
    </xf>
    <xf numFmtId="0" fontId="0" fillId="8" borderId="82" xfId="0" applyFill="1" applyBorder="1" applyProtection="1"/>
    <xf numFmtId="0" fontId="17" fillId="9" borderId="82" xfId="0" applyFont="1" applyFill="1" applyBorder="1" applyAlignment="1">
      <alignment horizontal="center"/>
    </xf>
    <xf numFmtId="0" fontId="48" fillId="9" borderId="82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0" fillId="9" borderId="1" xfId="0" applyFont="1" applyFill="1" applyBorder="1" applyAlignment="1" applyProtection="1">
      <alignment horizontal="left" vertical="center"/>
      <protection locked="0"/>
    </xf>
    <xf numFmtId="0" fontId="9" fillId="6" borderId="83" xfId="0" applyFont="1" applyFill="1" applyBorder="1" applyAlignment="1">
      <alignment horizontal="left"/>
    </xf>
    <xf numFmtId="0" fontId="10" fillId="9" borderId="1" xfId="0" applyFont="1" applyFill="1" applyBorder="1" applyAlignment="1" applyProtection="1">
      <alignment horizontal="left"/>
      <protection locked="0"/>
    </xf>
    <xf numFmtId="0" fontId="9" fillId="6" borderId="1" xfId="0" applyFont="1" applyFill="1" applyBorder="1" applyAlignment="1">
      <alignment horizontal="left"/>
    </xf>
    <xf numFmtId="0" fontId="0" fillId="18" borderId="1" xfId="0" applyFill="1" applyBorder="1" applyProtection="1">
      <protection locked="0"/>
    </xf>
    <xf numFmtId="0" fontId="13" fillId="9" borderId="1" xfId="0" applyFont="1" applyFill="1" applyBorder="1" applyAlignment="1">
      <alignment horizontal="center"/>
    </xf>
    <xf numFmtId="165" fontId="10" fillId="9" borderId="84" xfId="1" applyNumberFormat="1" applyFont="1" applyFill="1" applyBorder="1" applyAlignment="1" applyProtection="1">
      <alignment horizontal="center"/>
    </xf>
    <xf numFmtId="165" fontId="50" fillId="6" borderId="5" xfId="1" applyNumberFormat="1" applyFont="1" applyFill="1" applyBorder="1" applyAlignment="1" applyProtection="1">
      <alignment horizontal="center"/>
      <protection locked="0"/>
    </xf>
    <xf numFmtId="0" fontId="16" fillId="8" borderId="0" xfId="0" applyFont="1" applyFill="1"/>
    <xf numFmtId="0" fontId="20" fillId="8" borderId="0" xfId="0" applyFont="1" applyFill="1" applyAlignment="1">
      <alignment vertical="top"/>
    </xf>
    <xf numFmtId="0" fontId="16" fillId="8" borderId="0" xfId="0" applyFont="1" applyFill="1" applyAlignment="1">
      <alignment vertical="top"/>
    </xf>
    <xf numFmtId="0" fontId="1" fillId="18" borderId="1" xfId="0" applyFont="1" applyFill="1" applyBorder="1" applyProtection="1">
      <protection locked="0"/>
    </xf>
    <xf numFmtId="0" fontId="1" fillId="4" borderId="9" xfId="0" applyFont="1" applyFill="1" applyBorder="1" applyProtection="1">
      <protection locked="0"/>
    </xf>
    <xf numFmtId="0" fontId="51" fillId="0" borderId="0" xfId="0" applyFont="1"/>
    <xf numFmtId="0" fontId="52" fillId="0" borderId="0" xfId="0" applyFont="1"/>
    <xf numFmtId="0" fontId="52" fillId="0" borderId="86" xfId="0" applyFont="1" applyBorder="1"/>
    <xf numFmtId="0" fontId="53" fillId="0" borderId="0" xfId="0" applyFont="1"/>
    <xf numFmtId="167" fontId="54" fillId="0" borderId="0" xfId="0" applyNumberFormat="1" applyFont="1" applyBorder="1" applyAlignment="1">
      <alignment horizontal="center"/>
    </xf>
    <xf numFmtId="0" fontId="52" fillId="0" borderId="0" xfId="0" applyFont="1" applyBorder="1"/>
    <xf numFmtId="0" fontId="52" fillId="0" borderId="0" xfId="0" applyFont="1" applyFill="1" applyBorder="1"/>
    <xf numFmtId="1" fontId="54" fillId="0" borderId="86" xfId="0" applyNumberFormat="1" applyFont="1" applyBorder="1" applyAlignment="1">
      <alignment horizontal="center"/>
    </xf>
    <xf numFmtId="1" fontId="54" fillId="0" borderId="0" xfId="0" applyNumberFormat="1" applyFont="1" applyBorder="1" applyAlignment="1">
      <alignment horizontal="center"/>
    </xf>
    <xf numFmtId="1" fontId="52" fillId="0" borderId="0" xfId="0" applyNumberFormat="1" applyFont="1"/>
    <xf numFmtId="3" fontId="54" fillId="0" borderId="86" xfId="0" applyNumberFormat="1" applyFont="1" applyBorder="1" applyAlignment="1">
      <alignment horizontal="center"/>
    </xf>
    <xf numFmtId="3" fontId="54" fillId="0" borderId="0" xfId="0" applyNumberFormat="1" applyFont="1" applyAlignment="1">
      <alignment horizontal="center"/>
    </xf>
    <xf numFmtId="1" fontId="54" fillId="0" borderId="0" xfId="0" applyNumberFormat="1" applyFont="1" applyAlignment="1">
      <alignment horizontal="center"/>
    </xf>
    <xf numFmtId="0" fontId="54" fillId="0" borderId="0" xfId="0" applyFont="1"/>
    <xf numFmtId="1" fontId="54" fillId="0" borderId="0" xfId="0" applyNumberFormat="1" applyFont="1"/>
    <xf numFmtId="0" fontId="54" fillId="0" borderId="86" xfId="0" applyFont="1" applyBorder="1"/>
    <xf numFmtId="0" fontId="54" fillId="0" borderId="86" xfId="0" applyFont="1" applyBorder="1" applyAlignment="1">
      <alignment horizontal="center"/>
    </xf>
    <xf numFmtId="1" fontId="54" fillId="0" borderId="86" xfId="0" applyNumberFormat="1" applyFont="1" applyFill="1" applyBorder="1" applyAlignment="1">
      <alignment horizontal="center"/>
    </xf>
    <xf numFmtId="1" fontId="54" fillId="30" borderId="86" xfId="0" applyNumberFormat="1" applyFont="1" applyFill="1" applyBorder="1" applyAlignment="1">
      <alignment horizontal="center"/>
    </xf>
    <xf numFmtId="0" fontId="55" fillId="0" borderId="87" xfId="0" applyFont="1" applyBorder="1"/>
    <xf numFmtId="1" fontId="54" fillId="0" borderId="89" xfId="0" applyNumberFormat="1" applyFont="1" applyBorder="1"/>
    <xf numFmtId="1" fontId="54" fillId="0" borderId="86" xfId="0" applyNumberFormat="1" applyFont="1" applyBorder="1"/>
    <xf numFmtId="0" fontId="54" fillId="0" borderId="86" xfId="0" applyFont="1" applyFill="1" applyBorder="1"/>
    <xf numFmtId="0" fontId="54" fillId="0" borderId="0" xfId="0" applyFont="1" applyBorder="1"/>
    <xf numFmtId="0" fontId="54" fillId="0" borderId="0" xfId="0" applyFont="1" applyBorder="1" applyAlignment="1">
      <alignment vertical="center" wrapText="1"/>
    </xf>
    <xf numFmtId="3" fontId="54" fillId="0" borderId="0" xfId="0" applyNumberFormat="1" applyFont="1" applyBorder="1" applyAlignment="1">
      <alignment horizontal="center"/>
    </xf>
    <xf numFmtId="4" fontId="54" fillId="0" borderId="0" xfId="0" applyNumberFormat="1" applyFont="1"/>
    <xf numFmtId="0" fontId="54" fillId="0" borderId="91" xfId="0" applyFont="1" applyBorder="1"/>
    <xf numFmtId="0" fontId="54" fillId="0" borderId="0" xfId="0" applyFont="1" applyBorder="1" applyAlignment="1">
      <alignment horizontal="center"/>
    </xf>
    <xf numFmtId="167" fontId="54" fillId="0" borderId="0" xfId="0" applyNumberFormat="1" applyFont="1" applyBorder="1"/>
    <xf numFmtId="1" fontId="54" fillId="0" borderId="92" xfId="0" applyNumberFormat="1" applyFont="1" applyBorder="1"/>
    <xf numFmtId="0" fontId="54" fillId="0" borderId="87" xfId="0" applyFont="1" applyBorder="1"/>
    <xf numFmtId="0" fontId="54" fillId="0" borderId="88" xfId="0" applyFont="1" applyBorder="1"/>
    <xf numFmtId="0" fontId="56" fillId="0" borderId="0" xfId="0" applyFont="1"/>
    <xf numFmtId="0" fontId="57" fillId="0" borderId="0" xfId="0" applyFont="1"/>
    <xf numFmtId="0" fontId="58" fillId="0" borderId="0" xfId="0" applyFont="1"/>
    <xf numFmtId="3" fontId="58" fillId="0" borderId="0" xfId="0" applyNumberFormat="1" applyFont="1" applyAlignment="1">
      <alignment horizontal="center"/>
    </xf>
    <xf numFmtId="3" fontId="58" fillId="0" borderId="86" xfId="0" applyNumberFormat="1" applyFont="1" applyBorder="1" applyAlignment="1">
      <alignment horizontal="center"/>
    </xf>
    <xf numFmtId="3" fontId="58" fillId="0" borderId="87" xfId="0" applyNumberFormat="1" applyFont="1" applyBorder="1" applyAlignment="1">
      <alignment horizontal="center"/>
    </xf>
    <xf numFmtId="3" fontId="58" fillId="0" borderId="88" xfId="0" applyNumberFormat="1" applyFont="1" applyBorder="1" applyAlignment="1">
      <alignment horizontal="right"/>
    </xf>
    <xf numFmtId="9" fontId="58" fillId="0" borderId="89" xfId="0" applyNumberFormat="1" applyFont="1" applyBorder="1" applyAlignment="1">
      <alignment horizontal="right"/>
    </xf>
    <xf numFmtId="0" fontId="58" fillId="0" borderId="0" xfId="0" applyFont="1" applyAlignment="1">
      <alignment horizontal="center"/>
    </xf>
    <xf numFmtId="0" fontId="58" fillId="0" borderId="86" xfId="0" applyFont="1" applyBorder="1"/>
    <xf numFmtId="3" fontId="58" fillId="0" borderId="86" xfId="0" applyNumberFormat="1" applyFont="1" applyBorder="1"/>
    <xf numFmtId="167" fontId="58" fillId="0" borderId="86" xfId="0" applyNumberFormat="1" applyFont="1" applyBorder="1"/>
    <xf numFmtId="167" fontId="58" fillId="0" borderId="90" xfId="0" applyNumberFormat="1" applyFont="1" applyBorder="1"/>
    <xf numFmtId="0" fontId="58" fillId="0" borderId="86" xfId="0" applyFont="1" applyBorder="1" applyAlignment="1">
      <alignment horizontal="center"/>
    </xf>
    <xf numFmtId="168" fontId="58" fillId="0" borderId="86" xfId="0" applyNumberFormat="1" applyFont="1" applyBorder="1"/>
    <xf numFmtId="168" fontId="58" fillId="0" borderId="90" xfId="0" applyNumberFormat="1" applyFont="1" applyBorder="1"/>
    <xf numFmtId="0" fontId="58" fillId="0" borderId="0" xfId="0" applyFont="1" applyBorder="1"/>
    <xf numFmtId="0" fontId="58" fillId="0" borderId="86" xfId="0" applyFont="1" applyFill="1" applyBorder="1" applyAlignment="1">
      <alignment horizontal="center"/>
    </xf>
    <xf numFmtId="3" fontId="58" fillId="0" borderId="86" xfId="0" applyNumberFormat="1" applyFont="1" applyFill="1" applyBorder="1" applyAlignment="1">
      <alignment horizontal="center"/>
    </xf>
    <xf numFmtId="167" fontId="58" fillId="0" borderId="86" xfId="0" applyNumberFormat="1" applyFont="1" applyBorder="1" applyAlignment="1">
      <alignment horizontal="center"/>
    </xf>
    <xf numFmtId="0" fontId="58" fillId="0" borderId="0" xfId="0" applyFont="1" applyFill="1" applyBorder="1" applyAlignment="1">
      <alignment horizontal="center"/>
    </xf>
    <xf numFmtId="0" fontId="59" fillId="0" borderId="0" xfId="0" applyFont="1"/>
    <xf numFmtId="0" fontId="60" fillId="0" borderId="0" xfId="0" applyFont="1" applyFill="1"/>
    <xf numFmtId="0" fontId="61" fillId="0" borderId="0" xfId="0" applyFont="1"/>
    <xf numFmtId="0" fontId="62" fillId="28" borderId="86" xfId="0" applyFont="1" applyFill="1" applyBorder="1"/>
    <xf numFmtId="0" fontId="63" fillId="29" borderId="87" xfId="0" applyFont="1" applyFill="1" applyBorder="1"/>
    <xf numFmtId="9" fontId="63" fillId="29" borderId="89" xfId="0" applyNumberFormat="1" applyFont="1" applyFill="1" applyBorder="1"/>
    <xf numFmtId="167" fontId="63" fillId="29" borderId="86" xfId="0" applyNumberFormat="1" applyFont="1" applyFill="1" applyBorder="1"/>
    <xf numFmtId="0" fontId="63" fillId="29" borderId="88" xfId="0" applyFont="1" applyFill="1" applyBorder="1"/>
    <xf numFmtId="168" fontId="63" fillId="29" borderId="89" xfId="0" applyNumberFormat="1" applyFont="1" applyFill="1" applyBorder="1"/>
    <xf numFmtId="9" fontId="63" fillId="29" borderId="88" xfId="0" applyNumberFormat="1" applyFont="1" applyFill="1" applyBorder="1"/>
    <xf numFmtId="0" fontId="64" fillId="0" borderId="87" xfId="0" applyFont="1" applyFill="1" applyBorder="1"/>
    <xf numFmtId="0" fontId="58" fillId="0" borderId="87" xfId="0" applyFont="1" applyBorder="1"/>
    <xf numFmtId="167" fontId="58" fillId="0" borderId="86" xfId="0" applyNumberFormat="1" applyFont="1" applyBorder="1" applyAlignment="1">
      <alignment horizontal="right"/>
    </xf>
    <xf numFmtId="169" fontId="54" fillId="30" borderId="86" xfId="0" applyNumberFormat="1" applyFont="1" applyFill="1" applyBorder="1" applyAlignment="1">
      <alignment horizontal="center"/>
    </xf>
    <xf numFmtId="1" fontId="54" fillId="29" borderId="86" xfId="0" applyNumberFormat="1" applyFont="1" applyFill="1" applyBorder="1" applyAlignment="1">
      <alignment horizontal="center"/>
    </xf>
    <xf numFmtId="0" fontId="35" fillId="8" borderId="0" xfId="0" applyFont="1" applyFill="1" applyAlignment="1" applyProtection="1">
      <alignment horizontal="center" vertical="top" wrapText="1"/>
      <protection locked="0"/>
    </xf>
    <xf numFmtId="0" fontId="0" fillId="8" borderId="0" xfId="0" applyFill="1" applyAlignment="1" applyProtection="1">
      <alignment vertical="top" wrapText="1"/>
      <protection locked="0"/>
    </xf>
    <xf numFmtId="0" fontId="16" fillId="17" borderId="0" xfId="0" applyFont="1" applyFill="1" applyAlignment="1" applyProtection="1">
      <alignment vertical="top" wrapText="1"/>
      <protection locked="0"/>
    </xf>
    <xf numFmtId="0" fontId="36" fillId="17" borderId="0" xfId="0" applyFont="1" applyFill="1" applyAlignment="1" applyProtection="1">
      <alignment vertical="top" wrapText="1"/>
      <protection locked="0"/>
    </xf>
    <xf numFmtId="0" fontId="15" fillId="9" borderId="0" xfId="0" applyFont="1" applyFill="1" applyBorder="1" applyAlignment="1">
      <alignment horizontal="center"/>
    </xf>
    <xf numFmtId="0" fontId="16" fillId="8" borderId="0" xfId="0" applyFont="1" applyFill="1" applyAlignment="1">
      <alignment horizontal="center" wrapText="1"/>
    </xf>
    <xf numFmtId="0" fontId="15" fillId="19" borderId="0" xfId="0" applyFont="1" applyFill="1" applyBorder="1" applyAlignment="1">
      <alignment horizontal="center"/>
    </xf>
    <xf numFmtId="0" fontId="15" fillId="6" borderId="0" xfId="0" applyFont="1" applyFill="1" applyBorder="1" applyAlignment="1">
      <alignment horizontal="center"/>
    </xf>
    <xf numFmtId="0" fontId="31" fillId="9" borderId="1" xfId="0" applyFont="1" applyFill="1" applyBorder="1" applyAlignment="1">
      <alignment horizontal="center" vertical="center" wrapText="1"/>
    </xf>
    <xf numFmtId="0" fontId="15" fillId="23" borderId="0" xfId="0" applyFont="1" applyFill="1" applyBorder="1" applyAlignment="1">
      <alignment horizontal="center"/>
    </xf>
    <xf numFmtId="0" fontId="30" fillId="21" borderId="0" xfId="0" applyFont="1" applyFill="1" applyBorder="1" applyAlignment="1">
      <alignment horizontal="center"/>
    </xf>
    <xf numFmtId="0" fontId="31" fillId="25" borderId="0" xfId="0" applyFont="1" applyFill="1" applyBorder="1" applyAlignment="1">
      <alignment horizontal="center" vertical="center" wrapText="1"/>
    </xf>
    <xf numFmtId="0" fontId="31" fillId="24" borderId="0" xfId="0" applyFont="1" applyFill="1" applyBorder="1" applyAlignment="1">
      <alignment horizontal="center" vertical="center" wrapText="1"/>
    </xf>
    <xf numFmtId="0" fontId="15" fillId="14" borderId="0" xfId="0" applyFont="1" applyFill="1" applyBorder="1" applyAlignment="1">
      <alignment horizontal="center"/>
    </xf>
    <xf numFmtId="0" fontId="30" fillId="2" borderId="0" xfId="0" applyFont="1" applyFill="1" applyBorder="1" applyAlignment="1">
      <alignment horizontal="center"/>
    </xf>
    <xf numFmtId="0" fontId="24" fillId="8" borderId="17" xfId="0" applyFont="1" applyFill="1" applyBorder="1"/>
    <xf numFmtId="0" fontId="42" fillId="10" borderId="0" xfId="0" applyFont="1" applyFill="1" applyAlignment="1">
      <alignment horizontal="center" vertical="center"/>
    </xf>
    <xf numFmtId="0" fontId="7" fillId="8" borderId="8" xfId="0" applyFont="1" applyFill="1" applyBorder="1" applyAlignment="1">
      <alignment horizontal="left" vertical="center" wrapText="1"/>
    </xf>
    <xf numFmtId="0" fontId="7" fillId="8" borderId="85" xfId="0" applyFont="1" applyFill="1" applyBorder="1" applyAlignment="1">
      <alignment horizontal="left" vertical="center" wrapText="1"/>
    </xf>
    <xf numFmtId="0" fontId="38" fillId="10" borderId="0" xfId="0" applyFont="1" applyFill="1" applyBorder="1" applyAlignment="1">
      <alignment horizontal="center"/>
    </xf>
    <xf numFmtId="0" fontId="52" fillId="0" borderId="86" xfId="0" applyFont="1" applyBorder="1" applyAlignment="1">
      <alignment horizontal="center" vertical="center" wrapText="1"/>
    </xf>
    <xf numFmtId="0" fontId="54" fillId="0" borderId="86" xfId="0" applyFont="1" applyBorder="1" applyAlignment="1">
      <alignment horizontal="center" vertical="center" wrapText="1"/>
    </xf>
    <xf numFmtId="0" fontId="54" fillId="0" borderId="87" xfId="0" applyFont="1" applyBorder="1" applyAlignment="1"/>
    <xf numFmtId="0" fontId="54" fillId="0" borderId="89" xfId="0" applyFont="1" applyBorder="1" applyAlignment="1"/>
    <xf numFmtId="0" fontId="0" fillId="31" borderId="0" xfId="0" applyFill="1"/>
    <xf numFmtId="0" fontId="19" fillId="31" borderId="0" xfId="0" applyFont="1" applyFill="1"/>
    <xf numFmtId="0" fontId="8" fillId="31" borderId="0" xfId="0" applyFont="1" applyFill="1" applyAlignment="1">
      <alignment vertical="center"/>
    </xf>
    <xf numFmtId="0" fontId="41" fillId="31" borderId="0" xfId="0" applyFont="1" applyFill="1" applyBorder="1"/>
    <xf numFmtId="0" fontId="41" fillId="31" borderId="0" xfId="0" applyFont="1" applyFill="1"/>
    <xf numFmtId="0" fontId="41" fillId="31" borderId="50" xfId="0" applyFont="1" applyFill="1" applyBorder="1"/>
    <xf numFmtId="0" fontId="43" fillId="31" borderId="0" xfId="0" applyFont="1" applyFill="1"/>
    <xf numFmtId="0" fontId="66" fillId="32" borderId="0" xfId="0" applyFont="1" applyFill="1" applyBorder="1" applyAlignment="1">
      <alignment horizontal="center" vertical="center" wrapText="1"/>
    </xf>
    <xf numFmtId="0" fontId="66" fillId="32" borderId="93" xfId="0" applyFont="1" applyFill="1" applyBorder="1" applyAlignment="1">
      <alignment horizontal="center" vertical="center" wrapText="1"/>
    </xf>
    <xf numFmtId="0" fontId="66" fillId="32" borderId="94" xfId="0" applyFont="1" applyFill="1" applyBorder="1" applyAlignment="1">
      <alignment horizontal="center" vertical="center" wrapText="1"/>
    </xf>
    <xf numFmtId="0" fontId="66" fillId="32" borderId="95" xfId="0" applyFont="1" applyFill="1" applyBorder="1" applyAlignment="1">
      <alignment horizontal="center" vertical="center" wrapText="1"/>
    </xf>
    <xf numFmtId="0" fontId="66" fillId="32" borderId="96" xfId="0" applyFont="1" applyFill="1" applyBorder="1" applyAlignment="1">
      <alignment horizontal="center" vertical="center" wrapText="1"/>
    </xf>
    <xf numFmtId="0" fontId="66" fillId="32" borderId="97" xfId="0" applyFont="1" applyFill="1" applyBorder="1" applyAlignment="1">
      <alignment horizontal="center" vertical="center" wrapText="1"/>
    </xf>
    <xf numFmtId="0" fontId="66" fillId="32" borderId="98" xfId="0" applyFont="1" applyFill="1" applyBorder="1" applyAlignment="1">
      <alignment horizontal="center" vertical="center" wrapText="1"/>
    </xf>
    <xf numFmtId="0" fontId="66" fillId="32" borderId="99" xfId="0" applyFont="1" applyFill="1" applyBorder="1" applyAlignment="1">
      <alignment horizontal="center" vertical="center" wrapText="1"/>
    </xf>
    <xf numFmtId="0" fontId="66" fillId="32" borderId="100" xfId="0" applyFont="1" applyFill="1" applyBorder="1" applyAlignment="1">
      <alignment horizontal="center" vertical="center" wrapText="1"/>
    </xf>
    <xf numFmtId="0" fontId="67" fillId="32" borderId="58" xfId="0" applyFont="1" applyFill="1" applyBorder="1"/>
    <xf numFmtId="0" fontId="67" fillId="32" borderId="59" xfId="0" applyFont="1" applyFill="1" applyBorder="1"/>
    <xf numFmtId="0" fontId="68" fillId="32" borderId="59" xfId="0" applyFont="1" applyFill="1" applyBorder="1"/>
    <xf numFmtId="0" fontId="68" fillId="32" borderId="60" xfId="0" applyFont="1" applyFill="1" applyBorder="1"/>
    <xf numFmtId="0" fontId="68" fillId="32" borderId="61" xfId="0" applyFont="1" applyFill="1" applyBorder="1"/>
    <xf numFmtId="0" fontId="68" fillId="32" borderId="0" xfId="0" applyFont="1" applyFill="1" applyBorder="1"/>
    <xf numFmtId="0" fontId="68" fillId="32" borderId="52" xfId="0" applyFont="1" applyFill="1" applyBorder="1"/>
    <xf numFmtId="0" fontId="68" fillId="32" borderId="57" xfId="0" applyFont="1" applyFill="1" applyBorder="1"/>
    <xf numFmtId="0" fontId="68" fillId="32" borderId="48" xfId="0" applyFont="1" applyFill="1" applyBorder="1"/>
    <xf numFmtId="0" fontId="68" fillId="32" borderId="47" xfId="0" applyFont="1" applyFill="1" applyBorder="1"/>
    <xf numFmtId="0" fontId="68" fillId="32" borderId="62" xfId="0" applyFont="1" applyFill="1" applyBorder="1"/>
    <xf numFmtId="0" fontId="67" fillId="32" borderId="0" xfId="0" applyFont="1" applyFill="1" applyBorder="1" applyAlignment="1">
      <alignment horizontal="right"/>
    </xf>
    <xf numFmtId="0" fontId="67" fillId="32" borderId="52" xfId="0" applyFont="1" applyFill="1" applyBorder="1" applyAlignment="1">
      <alignment horizontal="right"/>
    </xf>
    <xf numFmtId="0" fontId="68" fillId="32" borderId="51" xfId="0" applyFont="1" applyFill="1" applyBorder="1" applyAlignment="1">
      <alignment horizontal="right"/>
    </xf>
    <xf numFmtId="0" fontId="69" fillId="32" borderId="0" xfId="0" applyFont="1" applyFill="1" applyBorder="1" applyAlignment="1">
      <alignment horizontal="center"/>
    </xf>
    <xf numFmtId="0" fontId="68" fillId="32" borderId="69" xfId="0" applyFont="1" applyFill="1" applyBorder="1"/>
    <xf numFmtId="0" fontId="67" fillId="32" borderId="0" xfId="0" applyFont="1" applyFill="1" applyBorder="1"/>
    <xf numFmtId="0" fontId="68" fillId="32" borderId="51" xfId="0" applyFont="1" applyFill="1" applyBorder="1"/>
    <xf numFmtId="0" fontId="69" fillId="32" borderId="0" xfId="0" applyFont="1" applyFill="1" applyBorder="1" applyAlignment="1">
      <alignment horizontal="right"/>
    </xf>
    <xf numFmtId="6" fontId="67" fillId="32" borderId="68" xfId="0" applyNumberFormat="1" applyFont="1" applyFill="1" applyBorder="1"/>
    <xf numFmtId="0" fontId="68" fillId="32" borderId="74" xfId="0" applyFont="1" applyFill="1" applyBorder="1"/>
    <xf numFmtId="6" fontId="67" fillId="32" borderId="73" xfId="0" applyNumberFormat="1" applyFont="1" applyFill="1" applyBorder="1"/>
    <xf numFmtId="6" fontId="67" fillId="32" borderId="66" xfId="0" applyNumberFormat="1" applyFont="1" applyFill="1" applyBorder="1"/>
    <xf numFmtId="0" fontId="68" fillId="32" borderId="78" xfId="0" applyFont="1" applyFill="1" applyBorder="1"/>
    <xf numFmtId="6" fontId="67" fillId="32" borderId="77" xfId="0" applyNumberFormat="1" applyFont="1" applyFill="1" applyBorder="1"/>
    <xf numFmtId="0" fontId="68" fillId="32" borderId="53" xfId="0" applyFont="1" applyFill="1" applyBorder="1"/>
    <xf numFmtId="6" fontId="67" fillId="32" borderId="102" xfId="0" applyNumberFormat="1" applyFont="1" applyFill="1" applyBorder="1"/>
    <xf numFmtId="6" fontId="67" fillId="32" borderId="103" xfId="0" applyNumberFormat="1" applyFont="1" applyFill="1" applyBorder="1"/>
    <xf numFmtId="6" fontId="67" fillId="32" borderId="104" xfId="0" applyNumberFormat="1" applyFont="1" applyFill="1" applyBorder="1"/>
    <xf numFmtId="6" fontId="67" fillId="32" borderId="0" xfId="0" applyNumberFormat="1" applyFont="1" applyFill="1" applyBorder="1"/>
    <xf numFmtId="6" fontId="67" fillId="32" borderId="101" xfId="0" applyNumberFormat="1" applyFont="1" applyFill="1" applyBorder="1"/>
    <xf numFmtId="6" fontId="68" fillId="32" borderId="67" xfId="0" applyNumberFormat="1" applyFont="1" applyFill="1" applyBorder="1"/>
    <xf numFmtId="6" fontId="68" fillId="32" borderId="49" xfId="0" applyNumberFormat="1" applyFont="1" applyFill="1" applyBorder="1"/>
    <xf numFmtId="6" fontId="68" fillId="32" borderId="0" xfId="0" applyNumberFormat="1" applyFont="1" applyFill="1" applyBorder="1"/>
    <xf numFmtId="6" fontId="71" fillId="32" borderId="0" xfId="0" applyNumberFormat="1" applyFont="1" applyFill="1" applyBorder="1"/>
    <xf numFmtId="6" fontId="67" fillId="32" borderId="76" xfId="0" applyNumberFormat="1" applyFont="1" applyFill="1" applyBorder="1"/>
    <xf numFmtId="0" fontId="68" fillId="32" borderId="75" xfId="0" applyFont="1" applyFill="1" applyBorder="1"/>
    <xf numFmtId="6" fontId="67" fillId="32" borderId="71" xfId="0" applyNumberFormat="1" applyFont="1" applyFill="1" applyBorder="1"/>
    <xf numFmtId="6" fontId="67" fillId="32" borderId="79" xfId="0" applyNumberFormat="1" applyFont="1" applyFill="1" applyBorder="1"/>
    <xf numFmtId="0" fontId="68" fillId="32" borderId="80" xfId="0" applyFont="1" applyFill="1" applyBorder="1"/>
    <xf numFmtId="0" fontId="71" fillId="32" borderId="102" xfId="0" applyFont="1" applyFill="1" applyBorder="1"/>
    <xf numFmtId="9" fontId="67" fillId="32" borderId="111" xfId="0" applyNumberFormat="1" applyFont="1" applyFill="1" applyBorder="1" applyProtection="1">
      <protection locked="0"/>
    </xf>
    <xf numFmtId="6" fontId="68" fillId="32" borderId="72" xfId="0" applyNumberFormat="1" applyFont="1" applyFill="1" applyBorder="1"/>
    <xf numFmtId="5" fontId="68" fillId="32" borderId="0" xfId="0" applyNumberFormat="1" applyFont="1" applyFill="1" applyBorder="1"/>
    <xf numFmtId="9" fontId="67" fillId="32" borderId="68" xfId="2" applyFont="1" applyFill="1" applyBorder="1"/>
    <xf numFmtId="0" fontId="68" fillId="32" borderId="70" xfId="0" applyFont="1" applyFill="1" applyBorder="1"/>
    <xf numFmtId="9" fontId="67" fillId="32" borderId="81" xfId="2" applyFont="1" applyFill="1" applyBorder="1" applyAlignment="1">
      <alignment horizontal="right"/>
    </xf>
    <xf numFmtId="9" fontId="67" fillId="32" borderId="66" xfId="2" applyFont="1" applyFill="1" applyBorder="1" applyAlignment="1">
      <alignment horizontal="right"/>
    </xf>
    <xf numFmtId="0" fontId="68" fillId="32" borderId="78" xfId="0" applyFont="1" applyFill="1" applyBorder="1" applyAlignment="1">
      <alignment horizontal="right"/>
    </xf>
    <xf numFmtId="9" fontId="67" fillId="32" borderId="77" xfId="2" applyFont="1" applyFill="1" applyBorder="1" applyAlignment="1">
      <alignment horizontal="right"/>
    </xf>
    <xf numFmtId="0" fontId="68" fillId="32" borderId="105" xfId="0" applyFont="1" applyFill="1" applyBorder="1"/>
    <xf numFmtId="0" fontId="68" fillId="32" borderId="106" xfId="0" applyFont="1" applyFill="1" applyBorder="1"/>
    <xf numFmtId="0" fontId="68" fillId="32" borderId="107" xfId="0" applyFont="1" applyFill="1" applyBorder="1"/>
    <xf numFmtId="6" fontId="67" fillId="32" borderId="105" xfId="0" applyNumberFormat="1" applyFont="1" applyFill="1" applyBorder="1" applyAlignment="1">
      <alignment horizontal="right"/>
    </xf>
    <xf numFmtId="9" fontId="67" fillId="32" borderId="107" xfId="0" applyNumberFormat="1" applyFont="1" applyFill="1" applyBorder="1" applyAlignment="1">
      <alignment horizontal="left"/>
    </xf>
    <xf numFmtId="0" fontId="68" fillId="32" borderId="67" xfId="0" applyFont="1" applyFill="1" applyBorder="1"/>
    <xf numFmtId="0" fontId="68" fillId="32" borderId="49" xfId="0" applyFont="1" applyFill="1" applyBorder="1"/>
    <xf numFmtId="0" fontId="68" fillId="32" borderId="54" xfId="0" applyFont="1" applyFill="1" applyBorder="1"/>
    <xf numFmtId="6" fontId="68" fillId="32" borderId="55" xfId="0" applyNumberFormat="1" applyFont="1" applyFill="1" applyBorder="1"/>
    <xf numFmtId="0" fontId="68" fillId="32" borderId="56" xfId="0" applyFont="1" applyFill="1" applyBorder="1"/>
    <xf numFmtId="0" fontId="68" fillId="32" borderId="108" xfId="0" applyFont="1" applyFill="1" applyBorder="1" applyAlignment="1">
      <alignment horizontal="center"/>
    </xf>
    <xf numFmtId="0" fontId="68" fillId="32" borderId="109" xfId="0" applyFont="1" applyFill="1" applyBorder="1" applyAlignment="1">
      <alignment horizontal="center"/>
    </xf>
    <xf numFmtId="0" fontId="67" fillId="32" borderId="110" xfId="0" applyFont="1" applyFill="1" applyBorder="1" applyAlignment="1">
      <alignment horizontal="center"/>
    </xf>
    <xf numFmtId="0" fontId="68" fillId="32" borderId="0" xfId="0" applyFont="1" applyFill="1" applyBorder="1" applyAlignment="1">
      <alignment horizontal="center"/>
    </xf>
    <xf numFmtId="5" fontId="67" fillId="32" borderId="108" xfId="0" applyNumberFormat="1" applyFont="1" applyFill="1" applyBorder="1"/>
    <xf numFmtId="0" fontId="68" fillId="32" borderId="110" xfId="0" applyFont="1" applyFill="1" applyBorder="1" applyAlignment="1">
      <alignment horizontal="center"/>
    </xf>
    <xf numFmtId="0" fontId="68" fillId="32" borderId="63" xfId="0" applyFont="1" applyFill="1" applyBorder="1"/>
    <xf numFmtId="0" fontId="68" fillId="32" borderId="64" xfId="0" applyFont="1" applyFill="1" applyBorder="1"/>
    <xf numFmtId="8" fontId="68" fillId="32" borderId="64" xfId="0" applyNumberFormat="1" applyFont="1" applyFill="1" applyBorder="1"/>
    <xf numFmtId="0" fontId="68" fillId="32" borderId="65" xfId="0" applyFont="1" applyFill="1" applyBorder="1"/>
    <xf numFmtId="0" fontId="72" fillId="31" borderId="0" xfId="0" applyFont="1" applyFill="1"/>
    <xf numFmtId="0" fontId="72" fillId="31" borderId="0" xfId="0" applyFont="1" applyFill="1" applyBorder="1"/>
    <xf numFmtId="0" fontId="75" fillId="31" borderId="0" xfId="0" applyFont="1" applyFill="1"/>
    <xf numFmtId="0" fontId="72" fillId="31" borderId="50" xfId="0" applyFont="1" applyFill="1" applyBorder="1"/>
    <xf numFmtId="0" fontId="8" fillId="0" borderId="112" xfId="0" applyFont="1" applyBorder="1" applyAlignment="1">
      <alignment vertical="center"/>
    </xf>
    <xf numFmtId="0" fontId="44" fillId="32" borderId="113" xfId="0" applyFont="1" applyFill="1" applyBorder="1" applyAlignment="1">
      <alignment horizontal="right" vertical="center"/>
    </xf>
    <xf numFmtId="0" fontId="76" fillId="32" borderId="113" xfId="0" applyFont="1" applyFill="1" applyBorder="1" applyAlignment="1">
      <alignment horizontal="left" vertical="center" wrapText="1"/>
    </xf>
    <xf numFmtId="0" fontId="76" fillId="32" borderId="114" xfId="0" applyFont="1" applyFill="1" applyBorder="1" applyAlignment="1">
      <alignment horizontal="left" vertical="center" wrapText="1"/>
    </xf>
    <xf numFmtId="0" fontId="71" fillId="32" borderId="0" xfId="0" applyFont="1" applyFill="1" applyBorder="1"/>
    <xf numFmtId="9" fontId="67" fillId="32" borderId="0" xfId="0" applyNumberFormat="1" applyFont="1" applyFill="1" applyBorder="1" applyProtection="1">
      <protection locked="0"/>
    </xf>
    <xf numFmtId="9" fontId="67" fillId="32" borderId="110" xfId="2" applyFont="1" applyFill="1" applyBorder="1" applyAlignment="1">
      <alignment horizontal="center"/>
    </xf>
    <xf numFmtId="44" fontId="67" fillId="32" borderId="64" xfId="4" applyFont="1" applyFill="1" applyBorder="1"/>
  </cellXfs>
  <cellStyles count="5">
    <cellStyle name="Euro" xfId="1" xr:uid="{00000000-0005-0000-0000-000000000000}"/>
    <cellStyle name="Moneda" xfId="4" builtinId="4"/>
    <cellStyle name="Normal" xfId="0" builtinId="0"/>
    <cellStyle name="Porcentaje" xfId="2" builtinId="5"/>
    <cellStyle name="Währung" xfId="3" xr:uid="{00000000-0005-0000-0000-000003000000}"/>
  </cellStyles>
  <dxfs count="20">
    <dxf>
      <font>
        <b/>
        <i val="0"/>
        <condense val="0"/>
        <extend val="0"/>
      </font>
      <fill>
        <patternFill>
          <bgColor indexed="63"/>
        </patternFill>
      </fill>
    </dxf>
    <dxf>
      <font>
        <b/>
        <i val="0"/>
        <condense val="0"/>
        <extend val="0"/>
        <color indexed="54"/>
      </font>
      <fill>
        <patternFill>
          <bgColor indexed="43"/>
        </patternFill>
      </fill>
    </dxf>
    <dxf>
      <font>
        <b/>
        <i val="0"/>
        <condense val="0"/>
        <extend val="0"/>
        <color indexed="54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63"/>
        </patternFill>
      </fill>
    </dxf>
    <dxf>
      <font>
        <b/>
        <i val="0"/>
        <condense val="0"/>
        <extend val="0"/>
        <color indexed="54"/>
      </font>
      <fill>
        <patternFill>
          <bgColor indexed="43"/>
        </patternFill>
      </fill>
    </dxf>
    <dxf>
      <font>
        <b/>
        <i val="0"/>
        <condense val="0"/>
        <extend val="0"/>
        <color indexed="54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63"/>
        </patternFill>
      </fill>
    </dxf>
    <dxf>
      <font>
        <b/>
        <i val="0"/>
        <condense val="0"/>
        <extend val="0"/>
        <color indexed="54"/>
      </font>
      <fill>
        <patternFill>
          <bgColor indexed="43"/>
        </patternFill>
      </fill>
    </dxf>
    <dxf>
      <font>
        <b/>
        <i val="0"/>
        <condense val="0"/>
        <extend val="0"/>
        <color indexed="54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63"/>
        </patternFill>
      </fill>
    </dxf>
    <dxf>
      <font>
        <b/>
        <i val="0"/>
        <condense val="0"/>
        <extend val="0"/>
        <color indexed="54"/>
      </font>
      <fill>
        <patternFill>
          <bgColor indexed="43"/>
        </patternFill>
      </fill>
    </dxf>
    <dxf>
      <font>
        <b/>
        <i val="0"/>
        <condense val="0"/>
        <extend val="0"/>
        <color indexed="54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63"/>
        </patternFill>
      </fill>
    </dxf>
    <dxf>
      <font>
        <b/>
        <i val="0"/>
        <condense val="0"/>
        <extend val="0"/>
        <color indexed="54"/>
      </font>
      <fill>
        <patternFill>
          <bgColor indexed="43"/>
        </patternFill>
      </fill>
    </dxf>
    <dxf>
      <font>
        <b/>
        <i val="0"/>
        <condense val="0"/>
        <extend val="0"/>
        <color indexed="54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63"/>
        </patternFill>
      </fill>
    </dxf>
    <dxf>
      <font>
        <b/>
        <i val="0"/>
        <condense val="0"/>
        <extend val="0"/>
        <color indexed="54"/>
      </font>
      <fill>
        <patternFill>
          <bgColor indexed="26"/>
        </patternFill>
      </fill>
    </dxf>
    <dxf>
      <font>
        <b/>
        <i val="0"/>
        <condense val="0"/>
        <extend val="0"/>
        <color indexed="54"/>
      </font>
      <fill>
        <patternFill>
          <bgColor indexed="26"/>
        </patternFill>
      </fill>
    </dxf>
    <dxf>
      <font>
        <b/>
        <i val="0"/>
        <condense val="0"/>
        <extend val="0"/>
        <color indexed="54"/>
      </font>
      <fill>
        <patternFill>
          <bgColor indexed="43"/>
        </patternFill>
      </fill>
    </dxf>
    <dxf>
      <font>
        <b/>
        <i val="0"/>
        <condense val="0"/>
        <extend val="0"/>
        <color indexed="54"/>
      </font>
      <fill>
        <patternFill>
          <bgColor indexed="43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4"/>
    <pageSetUpPr fitToPage="1"/>
  </sheetPr>
  <dimension ref="A1:AL100"/>
  <sheetViews>
    <sheetView topLeftCell="A2" zoomScale="129" zoomScaleNormal="129" zoomScalePageLayoutView="40" workbookViewId="0">
      <selection activeCell="C6" sqref="C6:G9"/>
    </sheetView>
  </sheetViews>
  <sheetFormatPr baseColWidth="10" defaultRowHeight="13" x14ac:dyDescent="0.15"/>
  <cols>
    <col min="1" max="1" width="3.5" customWidth="1"/>
    <col min="2" max="2" width="17.5" customWidth="1"/>
    <col min="8" max="8" width="3.1640625" customWidth="1"/>
    <col min="9" max="9" width="56.5" customWidth="1"/>
    <col min="10" max="10" width="5.1640625" customWidth="1"/>
  </cols>
  <sheetData>
    <row r="1" spans="1:38" ht="14" x14ac:dyDescent="0.15">
      <c r="A1" s="24"/>
      <c r="B1" s="24"/>
      <c r="C1" s="24"/>
      <c r="D1" s="24"/>
      <c r="E1" s="24"/>
      <c r="F1" s="24"/>
      <c r="G1" s="24"/>
      <c r="H1" s="24"/>
      <c r="I1" s="23"/>
      <c r="J1" s="23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ht="43.5" customHeight="1" x14ac:dyDescent="0.15">
      <c r="A2" s="24"/>
      <c r="B2" s="170" t="s">
        <v>43</v>
      </c>
      <c r="C2" s="313" t="s">
        <v>86</v>
      </c>
      <c r="D2" s="313"/>
      <c r="E2" s="313"/>
      <c r="F2" s="313"/>
      <c r="G2" s="313"/>
      <c r="H2" s="313"/>
      <c r="I2" s="313"/>
      <c r="J2" s="23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ht="14" x14ac:dyDescent="0.15">
      <c r="A3" s="24"/>
      <c r="B3" s="25"/>
      <c r="C3" s="26"/>
      <c r="D3" s="26"/>
      <c r="E3" s="26"/>
      <c r="F3" s="26"/>
      <c r="G3" s="26"/>
      <c r="H3" s="169" t="s">
        <v>58</v>
      </c>
      <c r="I3" s="23"/>
      <c r="J3" s="23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29.25" customHeight="1" x14ac:dyDescent="0.15">
      <c r="A4" s="24"/>
      <c r="B4" s="25" t="s">
        <v>31</v>
      </c>
      <c r="C4" s="316" t="s">
        <v>86</v>
      </c>
      <c r="D4" s="316"/>
      <c r="E4" s="316"/>
      <c r="F4" s="316"/>
      <c r="G4" s="316"/>
      <c r="H4" s="24"/>
      <c r="I4" s="314" t="s">
        <v>70</v>
      </c>
      <c r="J4" s="23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 spans="1:38" ht="8" customHeight="1" x14ac:dyDescent="0.15">
      <c r="A5" s="24"/>
      <c r="B5" s="25"/>
      <c r="C5" s="25"/>
      <c r="D5" s="25"/>
      <c r="E5" s="25"/>
      <c r="F5" s="25"/>
      <c r="G5" s="25"/>
      <c r="H5" s="25"/>
      <c r="I5" s="314"/>
      <c r="J5" s="23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 spans="1:38" ht="14" x14ac:dyDescent="0.15">
      <c r="A6" s="24"/>
      <c r="B6" s="40" t="s">
        <v>42</v>
      </c>
      <c r="C6" s="315" t="s">
        <v>100</v>
      </c>
      <c r="D6" s="315"/>
      <c r="E6" s="315"/>
      <c r="F6" s="315"/>
      <c r="G6" s="315"/>
      <c r="H6" s="25"/>
      <c r="I6" s="314"/>
      <c r="J6" s="23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 spans="1:38" ht="14" x14ac:dyDescent="0.15">
      <c r="A7" s="24"/>
      <c r="B7" s="25"/>
      <c r="C7" s="315"/>
      <c r="D7" s="315"/>
      <c r="E7" s="315"/>
      <c r="F7" s="315"/>
      <c r="G7" s="315"/>
      <c r="H7" s="25"/>
      <c r="I7" s="314"/>
      <c r="J7" s="23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</row>
    <row r="8" spans="1:38" ht="14" x14ac:dyDescent="0.15">
      <c r="A8" s="24"/>
      <c r="B8" s="25"/>
      <c r="C8" s="315"/>
      <c r="D8" s="315"/>
      <c r="E8" s="315"/>
      <c r="F8" s="315"/>
      <c r="G8" s="315"/>
      <c r="H8" s="25"/>
      <c r="I8" s="314"/>
      <c r="J8" s="23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</row>
    <row r="9" spans="1:38" ht="14" x14ac:dyDescent="0.15">
      <c r="A9" s="24"/>
      <c r="B9" s="25"/>
      <c r="C9" s="315"/>
      <c r="D9" s="315"/>
      <c r="E9" s="315"/>
      <c r="F9" s="315"/>
      <c r="G9" s="315"/>
      <c r="H9" s="24"/>
      <c r="I9" s="314"/>
      <c r="J9" s="23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</row>
    <row r="10" spans="1:38" ht="14" x14ac:dyDescent="0.15">
      <c r="A10" s="24"/>
      <c r="B10" s="25"/>
      <c r="C10" s="26"/>
      <c r="D10" s="26"/>
      <c r="E10" s="26"/>
      <c r="F10" s="26"/>
      <c r="G10" s="26"/>
      <c r="H10" s="169" t="s">
        <v>58</v>
      </c>
      <c r="I10" s="23"/>
      <c r="J10" s="23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</row>
    <row r="11" spans="1:38" ht="29.25" customHeight="1" x14ac:dyDescent="0.15">
      <c r="A11" s="24"/>
      <c r="B11" s="25" t="s">
        <v>34</v>
      </c>
      <c r="C11" s="316" t="s">
        <v>80</v>
      </c>
      <c r="D11" s="316"/>
      <c r="E11" s="316"/>
      <c r="F11" s="316"/>
      <c r="G11" s="316"/>
      <c r="H11" s="24"/>
      <c r="I11" s="314" t="s">
        <v>70</v>
      </c>
      <c r="J11" s="23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</row>
    <row r="12" spans="1:38" ht="8" customHeight="1" x14ac:dyDescent="0.15">
      <c r="A12" s="24"/>
      <c r="B12" s="25"/>
      <c r="C12" s="25"/>
      <c r="D12" s="25"/>
      <c r="E12" s="25"/>
      <c r="F12" s="25"/>
      <c r="G12" s="25"/>
      <c r="H12" s="25"/>
      <c r="I12" s="314"/>
      <c r="J12" s="23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</row>
    <row r="13" spans="1:38" ht="14.25" customHeight="1" x14ac:dyDescent="0.15">
      <c r="A13" s="24"/>
      <c r="B13" s="40" t="s">
        <v>42</v>
      </c>
      <c r="C13" s="315"/>
      <c r="D13" s="315"/>
      <c r="E13" s="315"/>
      <c r="F13" s="315"/>
      <c r="G13" s="315"/>
      <c r="H13" s="25"/>
      <c r="I13" s="314"/>
      <c r="J13" s="23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 spans="1:38" ht="14" x14ac:dyDescent="0.15">
      <c r="A14" s="24"/>
      <c r="B14" s="25"/>
      <c r="C14" s="315"/>
      <c r="D14" s="315"/>
      <c r="E14" s="315"/>
      <c r="F14" s="315"/>
      <c r="G14" s="315"/>
      <c r="H14" s="25"/>
      <c r="I14" s="314"/>
      <c r="J14" s="23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 spans="1:38" ht="14" x14ac:dyDescent="0.15">
      <c r="A15" s="24"/>
      <c r="B15" s="25"/>
      <c r="C15" s="315"/>
      <c r="D15" s="315"/>
      <c r="E15" s="315"/>
      <c r="F15" s="315"/>
      <c r="G15" s="315"/>
      <c r="H15" s="25"/>
      <c r="I15" s="314"/>
      <c r="J15" s="23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</row>
    <row r="16" spans="1:38" ht="14" x14ac:dyDescent="0.15">
      <c r="A16" s="24"/>
      <c r="B16" s="25"/>
      <c r="C16" s="315"/>
      <c r="D16" s="315"/>
      <c r="E16" s="315"/>
      <c r="F16" s="315"/>
      <c r="G16" s="315"/>
      <c r="H16" s="24"/>
      <c r="I16" s="314"/>
      <c r="J16" s="23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</row>
    <row r="17" spans="1:38" ht="14" x14ac:dyDescent="0.15">
      <c r="A17" s="24"/>
      <c r="B17" s="25"/>
      <c r="C17" s="26"/>
      <c r="D17" s="26"/>
      <c r="E17" s="26"/>
      <c r="F17" s="26"/>
      <c r="G17" s="26"/>
      <c r="H17" s="169" t="s">
        <v>58</v>
      </c>
      <c r="I17" s="23"/>
      <c r="J17" s="23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 spans="1:38" ht="29.25" customHeight="1" x14ac:dyDescent="0.15">
      <c r="A18" s="24"/>
      <c r="B18" s="25" t="s">
        <v>35</v>
      </c>
      <c r="C18" s="316" t="s">
        <v>80</v>
      </c>
      <c r="D18" s="316"/>
      <c r="E18" s="316"/>
      <c r="F18" s="316"/>
      <c r="G18" s="316"/>
      <c r="H18" s="24"/>
      <c r="I18" s="314" t="s">
        <v>70</v>
      </c>
      <c r="J18" s="23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</row>
    <row r="19" spans="1:38" ht="8" customHeight="1" x14ac:dyDescent="0.15">
      <c r="A19" s="24"/>
      <c r="B19" s="25"/>
      <c r="C19" s="25"/>
      <c r="D19" s="25"/>
      <c r="E19" s="25"/>
      <c r="F19" s="25"/>
      <c r="G19" s="25"/>
      <c r="H19" s="25"/>
      <c r="I19" s="314"/>
      <c r="J19" s="23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</row>
    <row r="20" spans="1:38" ht="14" x14ac:dyDescent="0.15">
      <c r="A20" s="24"/>
      <c r="B20" s="40" t="s">
        <v>42</v>
      </c>
      <c r="C20" s="315"/>
      <c r="D20" s="315"/>
      <c r="E20" s="315"/>
      <c r="F20" s="315"/>
      <c r="G20" s="315"/>
      <c r="H20" s="25"/>
      <c r="I20" s="314"/>
      <c r="J20" s="23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</row>
    <row r="21" spans="1:38" ht="14" x14ac:dyDescent="0.15">
      <c r="A21" s="24"/>
      <c r="B21" s="25"/>
      <c r="C21" s="315"/>
      <c r="D21" s="315"/>
      <c r="E21" s="315"/>
      <c r="F21" s="315"/>
      <c r="G21" s="315"/>
      <c r="H21" s="25"/>
      <c r="I21" s="314"/>
      <c r="J21" s="23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spans="1:38" ht="14" x14ac:dyDescent="0.15">
      <c r="A22" s="24"/>
      <c r="B22" s="25"/>
      <c r="C22" s="315"/>
      <c r="D22" s="315"/>
      <c r="E22" s="315"/>
      <c r="F22" s="315"/>
      <c r="G22" s="315"/>
      <c r="H22" s="25"/>
      <c r="I22" s="314"/>
      <c r="J22" s="23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</row>
    <row r="23" spans="1:38" ht="14" x14ac:dyDescent="0.15">
      <c r="A23" s="24"/>
      <c r="B23" s="25"/>
      <c r="C23" s="315"/>
      <c r="D23" s="315"/>
      <c r="E23" s="315"/>
      <c r="F23" s="315"/>
      <c r="G23" s="315"/>
      <c r="H23" s="24"/>
      <c r="I23" s="314"/>
      <c r="J23" s="23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</row>
    <row r="24" spans="1:38" ht="14" x14ac:dyDescent="0.15">
      <c r="A24" s="24"/>
      <c r="B24" s="25"/>
      <c r="C24" s="26"/>
      <c r="D24" s="26"/>
      <c r="E24" s="26"/>
      <c r="F24" s="26"/>
      <c r="G24" s="26"/>
      <c r="H24" s="169" t="s">
        <v>58</v>
      </c>
      <c r="I24" s="23"/>
      <c r="J24" s="23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</row>
    <row r="25" spans="1:38" ht="29.25" customHeight="1" x14ac:dyDescent="0.15">
      <c r="A25" s="24"/>
      <c r="B25" s="25" t="s">
        <v>36</v>
      </c>
      <c r="C25" s="316" t="s">
        <v>80</v>
      </c>
      <c r="D25" s="316"/>
      <c r="E25" s="316"/>
      <c r="F25" s="316"/>
      <c r="G25" s="316"/>
      <c r="H25" s="24"/>
      <c r="I25" s="314" t="s">
        <v>70</v>
      </c>
      <c r="J25" s="23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</row>
    <row r="26" spans="1:38" ht="8" customHeight="1" x14ac:dyDescent="0.15">
      <c r="A26" s="24"/>
      <c r="B26" s="25"/>
      <c r="C26" s="25"/>
      <c r="D26" s="25"/>
      <c r="E26" s="25"/>
      <c r="F26" s="25"/>
      <c r="G26" s="25"/>
      <c r="H26" s="25"/>
      <c r="I26" s="314"/>
      <c r="J26" s="23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spans="1:38" ht="14" x14ac:dyDescent="0.15">
      <c r="A27" s="24"/>
      <c r="B27" s="40" t="s">
        <v>42</v>
      </c>
      <c r="C27" s="315"/>
      <c r="D27" s="315"/>
      <c r="E27" s="315"/>
      <c r="F27" s="315"/>
      <c r="G27" s="315"/>
      <c r="H27" s="25"/>
      <c r="I27" s="314"/>
      <c r="J27" s="23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</row>
    <row r="28" spans="1:38" ht="14" x14ac:dyDescent="0.15">
      <c r="A28" s="24"/>
      <c r="B28" s="25"/>
      <c r="C28" s="315"/>
      <c r="D28" s="315"/>
      <c r="E28" s="315"/>
      <c r="F28" s="315"/>
      <c r="G28" s="315"/>
      <c r="H28" s="25"/>
      <c r="I28" s="314"/>
      <c r="J28" s="23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spans="1:38" ht="14" x14ac:dyDescent="0.15">
      <c r="A29" s="24"/>
      <c r="B29" s="25"/>
      <c r="C29" s="315"/>
      <c r="D29" s="315"/>
      <c r="E29" s="315"/>
      <c r="F29" s="315"/>
      <c r="G29" s="315"/>
      <c r="H29" s="25"/>
      <c r="I29" s="314"/>
      <c r="J29" s="23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</row>
    <row r="30" spans="1:38" ht="14" x14ac:dyDescent="0.15">
      <c r="A30" s="24"/>
      <c r="B30" s="25"/>
      <c r="C30" s="315"/>
      <c r="D30" s="315"/>
      <c r="E30" s="315"/>
      <c r="F30" s="315"/>
      <c r="G30" s="315"/>
      <c r="H30" s="24"/>
      <c r="I30" s="314"/>
      <c r="J30" s="23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spans="1:38" ht="14" x14ac:dyDescent="0.15">
      <c r="A31" s="24"/>
      <c r="B31" s="25"/>
      <c r="C31" s="26"/>
      <c r="D31" s="26"/>
      <c r="E31" s="26"/>
      <c r="F31" s="26"/>
      <c r="G31" s="26"/>
      <c r="H31" s="24"/>
      <c r="I31" s="23"/>
      <c r="J31" s="23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</row>
    <row r="32" spans="1:38" ht="14" x14ac:dyDescent="0.15">
      <c r="A32" s="239"/>
      <c r="B32" s="240"/>
      <c r="C32" s="241"/>
      <c r="D32" s="241"/>
      <c r="E32" s="241"/>
      <c r="F32" s="241"/>
      <c r="G32" s="241"/>
      <c r="H32" s="23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</row>
    <row r="33" spans="1:38" ht="14" x14ac:dyDescent="0.15">
      <c r="A33" s="239"/>
      <c r="B33" s="240"/>
      <c r="C33" s="241"/>
      <c r="D33" s="241"/>
      <c r="E33" s="241"/>
      <c r="F33" s="241"/>
      <c r="G33" s="241"/>
      <c r="H33" s="23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</row>
    <row r="34" spans="1:38" x14ac:dyDescent="0.1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</row>
    <row r="35" spans="1:38" x14ac:dyDescent="0.1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</row>
    <row r="36" spans="1:38" x14ac:dyDescent="0.1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</row>
    <row r="37" spans="1:38" x14ac:dyDescent="0.1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</row>
    <row r="38" spans="1:38" x14ac:dyDescent="0.1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</row>
    <row r="39" spans="1:38" x14ac:dyDescent="0.1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</row>
    <row r="40" spans="1:38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</row>
    <row r="41" spans="1:38" x14ac:dyDescent="0.1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</row>
    <row r="42" spans="1:38" x14ac:dyDescent="0.1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</row>
    <row r="43" spans="1:38" x14ac:dyDescent="0.1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</row>
    <row r="44" spans="1:38" x14ac:dyDescent="0.1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</row>
    <row r="45" spans="1:38" x14ac:dyDescent="0.1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</row>
    <row r="46" spans="1:38" x14ac:dyDescent="0.1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</row>
    <row r="47" spans="1:38" x14ac:dyDescent="0.1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</row>
    <row r="48" spans="1:38" x14ac:dyDescent="0.1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</row>
    <row r="49" spans="1:38" x14ac:dyDescent="0.1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</row>
    <row r="50" spans="1:38" x14ac:dyDescent="0.1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</row>
    <row r="51" spans="1:38" x14ac:dyDescent="0.1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</row>
    <row r="52" spans="1:38" x14ac:dyDescent="0.1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</row>
    <row r="53" spans="1:38" x14ac:dyDescent="0.1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</row>
    <row r="54" spans="1:38" x14ac:dyDescent="0.1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</row>
    <row r="55" spans="1:38" x14ac:dyDescent="0.1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</row>
    <row r="56" spans="1:38" x14ac:dyDescent="0.1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</row>
    <row r="57" spans="1:38" x14ac:dyDescent="0.1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</row>
    <row r="58" spans="1:38" x14ac:dyDescent="0.1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</row>
    <row r="59" spans="1:38" x14ac:dyDescent="0.1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</row>
    <row r="60" spans="1:38" x14ac:dyDescent="0.1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</row>
    <row r="61" spans="1:38" x14ac:dyDescent="0.1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</row>
    <row r="62" spans="1:38" x14ac:dyDescent="0.1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</row>
    <row r="63" spans="1:38" x14ac:dyDescent="0.1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</row>
    <row r="64" spans="1:38" x14ac:dyDescent="0.1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</row>
    <row r="65" spans="1:38" x14ac:dyDescent="0.1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</row>
    <row r="66" spans="1:38" x14ac:dyDescent="0.1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</row>
    <row r="67" spans="1:38" x14ac:dyDescent="0.1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</row>
    <row r="68" spans="1:38" x14ac:dyDescent="0.1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</row>
    <row r="69" spans="1:38" x14ac:dyDescent="0.1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</row>
    <row r="70" spans="1:38" x14ac:dyDescent="0.1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</row>
    <row r="71" spans="1:38" x14ac:dyDescent="0.1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</row>
    <row r="72" spans="1:38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</row>
    <row r="73" spans="1:38" x14ac:dyDescent="0.1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</row>
    <row r="74" spans="1:38" x14ac:dyDescent="0.1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</row>
    <row r="75" spans="1:38" x14ac:dyDescent="0.1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</row>
    <row r="76" spans="1:38" x14ac:dyDescent="0.1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</row>
    <row r="77" spans="1:38" x14ac:dyDescent="0.1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</row>
    <row r="78" spans="1:38" x14ac:dyDescent="0.1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</row>
    <row r="79" spans="1:38" x14ac:dyDescent="0.1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</row>
    <row r="80" spans="1:38" x14ac:dyDescent="0.1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</row>
    <row r="81" spans="1:38" x14ac:dyDescent="0.1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</row>
    <row r="82" spans="1:38" x14ac:dyDescent="0.1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</row>
    <row r="83" spans="1:38" x14ac:dyDescent="0.1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</row>
    <row r="84" spans="1:38" x14ac:dyDescent="0.1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</row>
    <row r="85" spans="1:38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</row>
    <row r="86" spans="1:38" x14ac:dyDescent="0.1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</row>
    <row r="87" spans="1:38" x14ac:dyDescent="0.1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</row>
    <row r="88" spans="1:38" x14ac:dyDescent="0.1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</row>
    <row r="89" spans="1:38" x14ac:dyDescent="0.1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</row>
    <row r="90" spans="1:38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</row>
    <row r="91" spans="1:38" x14ac:dyDescent="0.1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</row>
    <row r="92" spans="1:38" x14ac:dyDescent="0.1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</row>
    <row r="93" spans="1:38" x14ac:dyDescent="0.1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</row>
    <row r="94" spans="1:38" x14ac:dyDescent="0.1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</row>
    <row r="95" spans="1:38" x14ac:dyDescent="0.1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</row>
    <row r="96" spans="1:38" x14ac:dyDescent="0.1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</row>
    <row r="97" spans="1:38" x14ac:dyDescent="0.1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</row>
    <row r="98" spans="1:38" x14ac:dyDescent="0.1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</row>
    <row r="99" spans="1:38" x14ac:dyDescent="0.1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</row>
    <row r="100" spans="1:38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</row>
  </sheetData>
  <sheetProtection sheet="1" objects="1" scenarios="1" selectLockedCells="1"/>
  <mergeCells count="13">
    <mergeCell ref="I25:I30"/>
    <mergeCell ref="C18:G18"/>
    <mergeCell ref="C20:G23"/>
    <mergeCell ref="C25:G25"/>
    <mergeCell ref="C27:G30"/>
    <mergeCell ref="C2:I2"/>
    <mergeCell ref="I4:I9"/>
    <mergeCell ref="I11:I16"/>
    <mergeCell ref="I18:I23"/>
    <mergeCell ref="C13:G16"/>
    <mergeCell ref="C6:G9"/>
    <mergeCell ref="C4:G4"/>
    <mergeCell ref="C11:G11"/>
  </mergeCells>
  <phoneticPr fontId="4" type="noConversion"/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97" orientation="landscape" r:id="rId1"/>
  <headerFooter>
    <oddHeader>&amp;L&amp;8&amp;F&amp;R&amp;8&amp;A</oddHeader>
    <oddFooter>&amp;C&amp;8Página &amp;P de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7">
    <tabColor indexed="55"/>
    <outlinePr summaryBelow="0"/>
  </sheetPr>
  <dimension ref="A1:DT99"/>
  <sheetViews>
    <sheetView zoomScale="75" zoomScaleNormal="75" zoomScaleSheetLayoutView="55" zoomScalePageLayoutView="75" workbookViewId="0">
      <pane xSplit="2" ySplit="10" topLeftCell="C11" activePane="bottomRight" state="frozen"/>
      <selection activeCell="W79" sqref="W79"/>
      <selection pane="topRight" activeCell="W79" sqref="W79"/>
      <selection pane="bottomLeft" activeCell="W79" sqref="W79"/>
      <selection pane="bottomRight" activeCell="S37" sqref="S37"/>
    </sheetView>
  </sheetViews>
  <sheetFormatPr baseColWidth="10" defaultColWidth="9.1640625" defaultRowHeight="13" outlineLevelRow="1" outlineLevelCol="2" x14ac:dyDescent="0.15"/>
  <cols>
    <col min="1" max="1" width="35.5" customWidth="1"/>
    <col min="2" max="2" width="2.5" customWidth="1" outlineLevel="1"/>
    <col min="3" max="3" width="2.6640625" customWidth="1" outlineLevel="2"/>
    <col min="4" max="4" width="16.33203125" customWidth="1" outlineLevel="2"/>
    <col min="5" max="6" width="2.6640625" customWidth="1" outlineLevel="2"/>
    <col min="7" max="7" width="16.33203125" customWidth="1" outlineLevel="2"/>
    <col min="8" max="9" width="2.6640625" customWidth="1" outlineLevel="2"/>
    <col min="10" max="10" width="16.33203125" customWidth="1" outlineLevel="2"/>
    <col min="11" max="12" width="2.6640625" customWidth="1" outlineLevel="2"/>
    <col min="13" max="13" width="16.33203125" customWidth="1" outlineLevel="2"/>
    <col min="14" max="14" width="2.6640625" customWidth="1" outlineLevel="2"/>
    <col min="15" max="15" width="2.6640625" customWidth="1" outlineLevel="1"/>
    <col min="16" max="16" width="16.33203125" customWidth="1" outlineLevel="1"/>
    <col min="17" max="18" width="2.6640625" customWidth="1" outlineLevel="1"/>
    <col min="19" max="19" width="16.33203125" customWidth="1" outlineLevel="1"/>
    <col min="20" max="20" width="2.6640625" customWidth="1" outlineLevel="1"/>
    <col min="21" max="21" width="2.5" customWidth="1" outlineLevel="1"/>
    <col min="22" max="22" width="2.6640625" hidden="1" customWidth="1" outlineLevel="2"/>
    <col min="23" max="23" width="16.33203125" hidden="1" customWidth="1" outlineLevel="2"/>
    <col min="24" max="25" width="2.6640625" hidden="1" customWidth="1" outlineLevel="2"/>
    <col min="26" max="26" width="16.33203125" hidden="1" customWidth="1" outlineLevel="2"/>
    <col min="27" max="28" width="2.6640625" hidden="1" customWidth="1" outlineLevel="2"/>
    <col min="29" max="29" width="16.33203125" hidden="1" customWidth="1" outlineLevel="2"/>
    <col min="30" max="31" width="2.6640625" hidden="1" customWidth="1" outlineLevel="2"/>
    <col min="32" max="32" width="16.33203125" hidden="1" customWidth="1" outlineLevel="2"/>
    <col min="33" max="33" width="2.6640625" hidden="1" customWidth="1" outlineLevel="2"/>
    <col min="34" max="34" width="2.6640625" customWidth="1" outlineLevel="1" collapsed="1"/>
    <col min="35" max="35" width="16.33203125" customWidth="1" outlineLevel="1"/>
    <col min="36" max="37" width="2.6640625" customWidth="1" outlineLevel="1"/>
    <col min="38" max="38" width="16.33203125" customWidth="1" outlineLevel="1"/>
    <col min="39" max="39" width="2.6640625" customWidth="1" outlineLevel="1"/>
    <col min="40" max="40" width="2.5" customWidth="1" outlineLevel="1"/>
    <col min="41" max="41" width="2.6640625" hidden="1" customWidth="1" outlineLevel="2"/>
    <col min="42" max="42" width="16.33203125" hidden="1" customWidth="1" outlineLevel="2"/>
    <col min="43" max="44" width="2.6640625" hidden="1" customWidth="1" outlineLevel="2"/>
    <col min="45" max="45" width="16.33203125" hidden="1" customWidth="1" outlineLevel="2"/>
    <col min="46" max="47" width="2.6640625" hidden="1" customWidth="1" outlineLevel="2"/>
    <col min="48" max="48" width="16.33203125" hidden="1" customWidth="1" outlineLevel="2"/>
    <col min="49" max="50" width="2.6640625" hidden="1" customWidth="1" outlineLevel="2"/>
    <col min="51" max="51" width="16.33203125" hidden="1" customWidth="1" outlineLevel="2"/>
    <col min="52" max="52" width="2.6640625" hidden="1" customWidth="1" outlineLevel="2"/>
    <col min="53" max="53" width="2.6640625" customWidth="1" outlineLevel="1" collapsed="1"/>
    <col min="54" max="54" width="16.33203125" customWidth="1" outlineLevel="1"/>
    <col min="55" max="56" width="2.6640625" customWidth="1" outlineLevel="1"/>
    <col min="57" max="57" width="16.33203125" customWidth="1" outlineLevel="1"/>
    <col min="58" max="58" width="2.6640625" customWidth="1" outlineLevel="1"/>
    <col min="59" max="59" width="2.5" customWidth="1" outlineLevel="1"/>
    <col min="60" max="60" width="2.6640625" hidden="1" customWidth="1" outlineLevel="2"/>
    <col min="61" max="61" width="16.33203125" hidden="1" customWidth="1" outlineLevel="2"/>
    <col min="62" max="63" width="2.6640625" hidden="1" customWidth="1" outlineLevel="2"/>
    <col min="64" max="64" width="16.33203125" hidden="1" customWidth="1" outlineLevel="2"/>
    <col min="65" max="66" width="2.6640625" hidden="1" customWidth="1" outlineLevel="2"/>
    <col min="67" max="67" width="16.33203125" hidden="1" customWidth="1" outlineLevel="2"/>
    <col min="68" max="69" width="2.6640625" hidden="1" customWidth="1" outlineLevel="2"/>
    <col min="70" max="70" width="16.33203125" hidden="1" customWidth="1" outlineLevel="2"/>
    <col min="71" max="71" width="2.6640625" hidden="1" customWidth="1" outlineLevel="2"/>
    <col min="72" max="72" width="2.6640625" customWidth="1" outlineLevel="1" collapsed="1"/>
    <col min="73" max="73" width="16.33203125" customWidth="1" outlineLevel="1"/>
    <col min="74" max="75" width="2.6640625" customWidth="1" outlineLevel="1"/>
    <col min="76" max="76" width="16.33203125" customWidth="1" outlineLevel="1"/>
    <col min="77" max="77" width="2.6640625" customWidth="1" outlineLevel="1"/>
    <col min="78" max="78" width="2.5" style="78" customWidth="1" outlineLevel="1"/>
    <col min="79" max="79" width="2.6640625" style="78" customWidth="1" outlineLevel="2"/>
    <col min="80" max="80" width="16.33203125" style="78" customWidth="1" outlineLevel="2"/>
    <col min="81" max="82" width="2.6640625" style="78" customWidth="1" outlineLevel="2"/>
    <col min="83" max="83" width="16.33203125" style="78" customWidth="1" outlineLevel="2"/>
    <col min="84" max="85" width="2.6640625" style="78" customWidth="1" outlineLevel="2"/>
    <col min="86" max="86" width="16.33203125" style="78" customWidth="1" outlineLevel="2"/>
    <col min="87" max="88" width="2.6640625" style="78" customWidth="1" outlineLevel="2"/>
    <col min="89" max="89" width="16.33203125" style="78" customWidth="1" outlineLevel="2"/>
    <col min="90" max="90" width="2.6640625" style="78" customWidth="1" outlineLevel="2"/>
    <col min="91" max="91" width="2.6640625" style="78" customWidth="1" outlineLevel="1"/>
    <col min="92" max="92" width="16.33203125" style="78" customWidth="1"/>
    <col min="93" max="94" width="2.6640625" customWidth="1"/>
    <col min="95" max="95" width="16.33203125" customWidth="1"/>
    <col min="96" max="96" width="2.6640625" style="78" customWidth="1"/>
    <col min="97" max="97" width="2.5" style="78" customWidth="1"/>
  </cols>
  <sheetData>
    <row r="1" spans="1:124" ht="16" x14ac:dyDescent="0.2">
      <c r="A1" s="236"/>
      <c r="B1" s="9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9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9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9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70"/>
      <c r="CA1" s="208"/>
      <c r="CB1" s="208"/>
      <c r="CC1" s="208"/>
      <c r="CD1" s="208"/>
      <c r="CE1" s="208"/>
      <c r="CF1" s="208"/>
      <c r="CG1" s="208"/>
      <c r="CH1" s="208"/>
      <c r="CI1" s="208"/>
      <c r="CJ1" s="208"/>
      <c r="CK1" s="208"/>
      <c r="CL1" s="208"/>
      <c r="CM1" s="208"/>
      <c r="CN1" s="208"/>
      <c r="CO1" s="208"/>
      <c r="CP1" s="208"/>
      <c r="CQ1" s="208"/>
      <c r="CR1" s="208"/>
      <c r="CS1" s="70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</row>
    <row r="2" spans="1:124" ht="15.75" customHeight="1" x14ac:dyDescent="0.2">
      <c r="A2" s="321" t="s">
        <v>71</v>
      </c>
      <c r="B2" s="9"/>
      <c r="C2" s="81"/>
      <c r="D2" s="319" t="s">
        <v>31</v>
      </c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81"/>
      <c r="U2" s="9"/>
      <c r="V2" s="4"/>
      <c r="W2" s="320" t="s">
        <v>34</v>
      </c>
      <c r="X2" s="320"/>
      <c r="Y2" s="320"/>
      <c r="Z2" s="320"/>
      <c r="AA2" s="320"/>
      <c r="AB2" s="320"/>
      <c r="AC2" s="320"/>
      <c r="AD2" s="320"/>
      <c r="AE2" s="320"/>
      <c r="AF2" s="320"/>
      <c r="AG2" s="320"/>
      <c r="AH2" s="320"/>
      <c r="AI2" s="320"/>
      <c r="AJ2" s="320"/>
      <c r="AK2" s="320"/>
      <c r="AL2" s="320"/>
      <c r="AM2" s="4"/>
      <c r="AN2" s="9"/>
      <c r="AO2" s="81"/>
      <c r="AP2" s="319" t="s">
        <v>35</v>
      </c>
      <c r="AQ2" s="319"/>
      <c r="AR2" s="319"/>
      <c r="AS2" s="319"/>
      <c r="AT2" s="319"/>
      <c r="AU2" s="319"/>
      <c r="AV2" s="319"/>
      <c r="AW2" s="319"/>
      <c r="AX2" s="319"/>
      <c r="AY2" s="319"/>
      <c r="AZ2" s="319"/>
      <c r="BA2" s="319"/>
      <c r="BB2" s="319"/>
      <c r="BC2" s="319"/>
      <c r="BD2" s="319"/>
      <c r="BE2" s="319"/>
      <c r="BF2" s="81"/>
      <c r="BG2" s="9"/>
      <c r="BH2" s="4"/>
      <c r="BI2" s="320" t="s">
        <v>36</v>
      </c>
      <c r="BJ2" s="320"/>
      <c r="BK2" s="320"/>
      <c r="BL2" s="320"/>
      <c r="BM2" s="320"/>
      <c r="BN2" s="320"/>
      <c r="BO2" s="320"/>
      <c r="BP2" s="320"/>
      <c r="BQ2" s="320"/>
      <c r="BR2" s="320"/>
      <c r="BS2" s="320"/>
      <c r="BT2" s="320"/>
      <c r="BU2" s="320"/>
      <c r="BV2" s="320"/>
      <c r="BW2" s="320"/>
      <c r="BX2" s="320"/>
      <c r="BY2" s="4"/>
      <c r="BZ2" s="70"/>
      <c r="CA2" s="208"/>
      <c r="CB2" s="317" t="s">
        <v>50</v>
      </c>
      <c r="CC2" s="317"/>
      <c r="CD2" s="317"/>
      <c r="CE2" s="317"/>
      <c r="CF2" s="317"/>
      <c r="CG2" s="317"/>
      <c r="CH2" s="317"/>
      <c r="CI2" s="317"/>
      <c r="CJ2" s="317"/>
      <c r="CK2" s="317"/>
      <c r="CL2" s="317"/>
      <c r="CM2" s="317"/>
      <c r="CN2" s="317"/>
      <c r="CO2" s="317"/>
      <c r="CP2" s="317"/>
      <c r="CQ2" s="317"/>
      <c r="CR2" s="208"/>
      <c r="CS2" s="70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</row>
    <row r="3" spans="1:124" ht="15.75" customHeight="1" x14ac:dyDescent="0.15">
      <c r="A3" s="321"/>
      <c r="B3" s="9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9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9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9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70"/>
      <c r="CA3" s="208"/>
      <c r="CB3" s="208"/>
      <c r="CC3" s="208"/>
      <c r="CD3" s="208"/>
      <c r="CE3" s="208"/>
      <c r="CF3" s="208"/>
      <c r="CG3" s="208"/>
      <c r="CH3" s="208"/>
      <c r="CI3" s="208"/>
      <c r="CJ3" s="208"/>
      <c r="CK3" s="208"/>
      <c r="CL3" s="208"/>
      <c r="CM3" s="208"/>
      <c r="CN3" s="208"/>
      <c r="CO3" s="208"/>
      <c r="CP3" s="208"/>
      <c r="CQ3" s="208"/>
      <c r="CR3" s="208"/>
      <c r="CS3" s="70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</row>
    <row r="4" spans="1:124" ht="14.25" customHeight="1" x14ac:dyDescent="0.15">
      <c r="A4" s="321"/>
      <c r="B4" s="9"/>
      <c r="C4" s="81"/>
      <c r="D4" s="318" t="s">
        <v>86</v>
      </c>
      <c r="E4" s="318"/>
      <c r="F4" s="318"/>
      <c r="G4" s="318"/>
      <c r="H4" s="318"/>
      <c r="I4" s="318"/>
      <c r="J4" s="318"/>
      <c r="K4" s="318"/>
      <c r="L4" s="318"/>
      <c r="M4" s="318"/>
      <c r="N4" s="318"/>
      <c r="O4" s="318"/>
      <c r="P4" s="318"/>
      <c r="Q4" s="318"/>
      <c r="R4" s="318"/>
      <c r="S4" s="318"/>
      <c r="T4" s="81"/>
      <c r="U4" s="9"/>
      <c r="V4" s="4"/>
      <c r="W4" s="318" t="str">
        <f>+Definición!C11</f>
        <v>[Nombre ]</v>
      </c>
      <c r="X4" s="318"/>
      <c r="Y4" s="318"/>
      <c r="Z4" s="318"/>
      <c r="AA4" s="318"/>
      <c r="AB4" s="318"/>
      <c r="AC4" s="318"/>
      <c r="AD4" s="318"/>
      <c r="AE4" s="318"/>
      <c r="AF4" s="318"/>
      <c r="AG4" s="318"/>
      <c r="AH4" s="318"/>
      <c r="AI4" s="318"/>
      <c r="AJ4" s="318"/>
      <c r="AK4" s="318"/>
      <c r="AL4" s="318"/>
      <c r="AM4" s="4"/>
      <c r="AN4" s="9"/>
      <c r="AO4" s="81"/>
      <c r="AP4" s="318" t="str">
        <f>+Definición!C18</f>
        <v>[Nombre ]</v>
      </c>
      <c r="AQ4" s="318"/>
      <c r="AR4" s="318"/>
      <c r="AS4" s="318"/>
      <c r="AT4" s="318"/>
      <c r="AU4" s="318"/>
      <c r="AV4" s="318"/>
      <c r="AW4" s="318"/>
      <c r="AX4" s="318"/>
      <c r="AY4" s="318"/>
      <c r="AZ4" s="318"/>
      <c r="BA4" s="318"/>
      <c r="BB4" s="318"/>
      <c r="BC4" s="318"/>
      <c r="BD4" s="318"/>
      <c r="BE4" s="318"/>
      <c r="BF4" s="81"/>
      <c r="BG4" s="9"/>
      <c r="BH4" s="4"/>
      <c r="BI4" s="318" t="str">
        <f>+Definición!C25</f>
        <v>[Nombre ]</v>
      </c>
      <c r="BJ4" s="318"/>
      <c r="BK4" s="318"/>
      <c r="BL4" s="318"/>
      <c r="BM4" s="318"/>
      <c r="BN4" s="318"/>
      <c r="BO4" s="318"/>
      <c r="BP4" s="318"/>
      <c r="BQ4" s="318"/>
      <c r="BR4" s="318"/>
      <c r="BS4" s="318"/>
      <c r="BT4" s="318"/>
      <c r="BU4" s="318"/>
      <c r="BV4" s="318"/>
      <c r="BW4" s="318"/>
      <c r="BX4" s="318"/>
      <c r="BY4" s="4"/>
      <c r="BZ4" s="70"/>
      <c r="CA4" s="208"/>
      <c r="CB4" s="318" t="str">
        <f>+Definición!C2</f>
        <v>TRIPMATE</v>
      </c>
      <c r="CC4" s="318"/>
      <c r="CD4" s="318"/>
      <c r="CE4" s="318"/>
      <c r="CF4" s="318"/>
      <c r="CG4" s="318"/>
      <c r="CH4" s="318"/>
      <c r="CI4" s="318"/>
      <c r="CJ4" s="318"/>
      <c r="CK4" s="318"/>
      <c r="CL4" s="318"/>
      <c r="CM4" s="318"/>
      <c r="CN4" s="318"/>
      <c r="CO4" s="318"/>
      <c r="CP4" s="318"/>
      <c r="CQ4" s="318"/>
      <c r="CR4" s="208"/>
      <c r="CS4" s="70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</row>
    <row r="5" spans="1:124" ht="12.75" customHeight="1" x14ac:dyDescent="0.15">
      <c r="A5" s="321"/>
      <c r="B5" s="9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9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9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9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70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70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</row>
    <row r="6" spans="1:124" ht="16" x14ac:dyDescent="0.2">
      <c r="A6" s="321"/>
      <c r="B6" s="9"/>
      <c r="C6" s="80"/>
      <c r="D6" s="82" t="s">
        <v>0</v>
      </c>
      <c r="E6" s="82"/>
      <c r="F6" s="82"/>
      <c r="G6" s="82" t="s">
        <v>1</v>
      </c>
      <c r="H6" s="82"/>
      <c r="I6" s="82"/>
      <c r="J6" s="82" t="s">
        <v>2</v>
      </c>
      <c r="K6" s="82"/>
      <c r="L6" s="82"/>
      <c r="M6" s="82" t="s">
        <v>3</v>
      </c>
      <c r="N6" s="80"/>
      <c r="O6" s="82"/>
      <c r="P6" s="82" t="s">
        <v>39</v>
      </c>
      <c r="Q6" s="80"/>
      <c r="R6" s="82"/>
      <c r="S6" s="209" t="s">
        <v>74</v>
      </c>
      <c r="T6" s="80"/>
      <c r="U6" s="9"/>
      <c r="V6" s="16"/>
      <c r="W6" s="13" t="s">
        <v>0</v>
      </c>
      <c r="X6" s="13"/>
      <c r="Y6" s="13"/>
      <c r="Z6" s="13" t="s">
        <v>1</v>
      </c>
      <c r="AA6" s="13"/>
      <c r="AB6" s="13"/>
      <c r="AC6" s="13" t="s">
        <v>2</v>
      </c>
      <c r="AD6" s="13"/>
      <c r="AE6" s="13"/>
      <c r="AF6" s="13" t="s">
        <v>3</v>
      </c>
      <c r="AG6" s="16"/>
      <c r="AH6" s="13"/>
      <c r="AI6" s="13" t="s">
        <v>39</v>
      </c>
      <c r="AJ6" s="16"/>
      <c r="AK6" s="13"/>
      <c r="AL6" s="212" t="s">
        <v>74</v>
      </c>
      <c r="AM6" s="16"/>
      <c r="AN6" s="9"/>
      <c r="AO6" s="80"/>
      <c r="AP6" s="82" t="s">
        <v>0</v>
      </c>
      <c r="AQ6" s="82"/>
      <c r="AR6" s="82"/>
      <c r="AS6" s="82" t="s">
        <v>1</v>
      </c>
      <c r="AT6" s="82"/>
      <c r="AU6" s="82"/>
      <c r="AV6" s="82" t="s">
        <v>2</v>
      </c>
      <c r="AW6" s="82"/>
      <c r="AX6" s="82"/>
      <c r="AY6" s="82" t="s">
        <v>3</v>
      </c>
      <c r="AZ6" s="80"/>
      <c r="BA6" s="82"/>
      <c r="BB6" s="82" t="s">
        <v>39</v>
      </c>
      <c r="BC6" s="80"/>
      <c r="BD6" s="82"/>
      <c r="BE6" s="209" t="s">
        <v>74</v>
      </c>
      <c r="BF6" s="80"/>
      <c r="BG6" s="9"/>
      <c r="BH6" s="16"/>
      <c r="BI6" s="13" t="s">
        <v>0</v>
      </c>
      <c r="BJ6" s="13"/>
      <c r="BK6" s="13"/>
      <c r="BL6" s="13" t="s">
        <v>1</v>
      </c>
      <c r="BM6" s="13"/>
      <c r="BN6" s="13"/>
      <c r="BO6" s="13" t="s">
        <v>2</v>
      </c>
      <c r="BP6" s="13"/>
      <c r="BQ6" s="13"/>
      <c r="BR6" s="13" t="s">
        <v>3</v>
      </c>
      <c r="BS6" s="16"/>
      <c r="BT6" s="13"/>
      <c r="BU6" s="13" t="s">
        <v>39</v>
      </c>
      <c r="BV6" s="16"/>
      <c r="BW6" s="13"/>
      <c r="BX6" s="212" t="s">
        <v>74</v>
      </c>
      <c r="BY6" s="16"/>
      <c r="BZ6" s="70"/>
      <c r="CA6" s="213"/>
      <c r="CB6" s="214" t="s">
        <v>0</v>
      </c>
      <c r="CC6" s="214"/>
      <c r="CD6" s="214"/>
      <c r="CE6" s="214" t="s">
        <v>1</v>
      </c>
      <c r="CF6" s="214"/>
      <c r="CG6" s="214"/>
      <c r="CH6" s="214" t="s">
        <v>2</v>
      </c>
      <c r="CI6" s="214"/>
      <c r="CJ6" s="214"/>
      <c r="CK6" s="214" t="s">
        <v>3</v>
      </c>
      <c r="CL6" s="215"/>
      <c r="CM6" s="214"/>
      <c r="CN6" s="214" t="s">
        <v>39</v>
      </c>
      <c r="CO6" s="215"/>
      <c r="CP6" s="214"/>
      <c r="CQ6" s="216" t="s">
        <v>74</v>
      </c>
      <c r="CR6" s="213"/>
      <c r="CS6" s="70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</row>
    <row r="7" spans="1:124" ht="16" x14ac:dyDescent="0.2">
      <c r="A7" s="229"/>
      <c r="B7" s="223"/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  <c r="Q7" s="224"/>
      <c r="R7" s="224"/>
      <c r="S7" s="225" t="s">
        <v>75</v>
      </c>
      <c r="T7" s="224"/>
      <c r="U7" s="223"/>
      <c r="V7" s="221"/>
      <c r="W7" s="221"/>
      <c r="X7" s="221"/>
      <c r="Y7" s="221"/>
      <c r="Z7" s="221"/>
      <c r="AA7" s="221"/>
      <c r="AB7" s="221"/>
      <c r="AC7" s="221"/>
      <c r="AD7" s="221"/>
      <c r="AE7" s="221"/>
      <c r="AF7" s="221"/>
      <c r="AG7" s="221"/>
      <c r="AH7" s="221"/>
      <c r="AI7" s="221"/>
      <c r="AJ7" s="221"/>
      <c r="AK7" s="221"/>
      <c r="AL7" s="222" t="s">
        <v>75</v>
      </c>
      <c r="AM7" s="221"/>
      <c r="AN7" s="223"/>
      <c r="AO7" s="224"/>
      <c r="AP7" s="224"/>
      <c r="AQ7" s="224"/>
      <c r="AR7" s="224"/>
      <c r="AS7" s="224"/>
      <c r="AT7" s="224"/>
      <c r="AU7" s="224"/>
      <c r="AV7" s="224"/>
      <c r="AW7" s="224"/>
      <c r="AX7" s="224"/>
      <c r="AY7" s="224"/>
      <c r="AZ7" s="224"/>
      <c r="BA7" s="224"/>
      <c r="BB7" s="224"/>
      <c r="BC7" s="224"/>
      <c r="BD7" s="224"/>
      <c r="BE7" s="225" t="s">
        <v>75</v>
      </c>
      <c r="BF7" s="224"/>
      <c r="BG7" s="223"/>
      <c r="BH7" s="221"/>
      <c r="BI7" s="221"/>
      <c r="BJ7" s="221"/>
      <c r="BK7" s="221"/>
      <c r="BL7" s="221"/>
      <c r="BM7" s="221"/>
      <c r="BN7" s="221"/>
      <c r="BO7" s="221"/>
      <c r="BP7" s="221"/>
      <c r="BQ7" s="221"/>
      <c r="BR7" s="221"/>
      <c r="BS7" s="221"/>
      <c r="BT7" s="221"/>
      <c r="BU7" s="221"/>
      <c r="BV7" s="221"/>
      <c r="BW7" s="221"/>
      <c r="BX7" s="222" t="s">
        <v>75</v>
      </c>
      <c r="BY7" s="221"/>
      <c r="BZ7" s="226"/>
      <c r="CA7" s="227"/>
      <c r="CB7" s="227"/>
      <c r="CC7" s="227"/>
      <c r="CD7" s="227"/>
      <c r="CE7" s="227"/>
      <c r="CF7" s="227"/>
      <c r="CG7" s="227"/>
      <c r="CH7" s="227"/>
      <c r="CI7" s="227"/>
      <c r="CJ7" s="227"/>
      <c r="CK7" s="227"/>
      <c r="CL7" s="227"/>
      <c r="CM7" s="227"/>
      <c r="CN7" s="227"/>
      <c r="CO7" s="227"/>
      <c r="CP7" s="227"/>
      <c r="CQ7" s="228" t="s">
        <v>75</v>
      </c>
      <c r="CR7" s="227"/>
      <c r="CS7" s="70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</row>
    <row r="8" spans="1:124" x14ac:dyDescent="0.15">
      <c r="A8" s="230"/>
      <c r="B8" s="9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9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9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9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70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16"/>
      <c r="CP8" s="16"/>
      <c r="CQ8" s="16"/>
      <c r="CR8" s="21"/>
      <c r="CS8" s="70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</row>
    <row r="9" spans="1:124" s="146" customFormat="1" ht="30" customHeight="1" x14ac:dyDescent="0.15">
      <c r="A9" s="231" t="s">
        <v>72</v>
      </c>
      <c r="B9" s="136"/>
      <c r="C9" s="137"/>
      <c r="D9" s="138">
        <f>SUM(D11:D79)/2</f>
        <v>1593000</v>
      </c>
      <c r="E9" s="139"/>
      <c r="F9" s="140"/>
      <c r="G9" s="138">
        <f>SUM(G11:G79)/2</f>
        <v>227000</v>
      </c>
      <c r="H9" s="139"/>
      <c r="I9" s="140"/>
      <c r="J9" s="138">
        <f>SUM(J11:J79)/2</f>
        <v>311000</v>
      </c>
      <c r="K9" s="139"/>
      <c r="L9" s="140"/>
      <c r="M9" s="138">
        <f>SUM(M11:M79)/2</f>
        <v>157000</v>
      </c>
      <c r="N9" s="141"/>
      <c r="O9" s="140"/>
      <c r="P9" s="142">
        <f>SUM(P11:P79)/2</f>
        <v>2288000</v>
      </c>
      <c r="Q9" s="141"/>
      <c r="R9" s="140"/>
      <c r="S9" s="210">
        <f>SUM(S11:S79)/2</f>
        <v>0</v>
      </c>
      <c r="T9" s="141"/>
      <c r="U9" s="136"/>
      <c r="V9" s="137"/>
      <c r="W9" s="138">
        <f>SUM(W11:W79)/2</f>
        <v>0</v>
      </c>
      <c r="X9" s="139"/>
      <c r="Y9" s="140"/>
      <c r="Z9" s="138">
        <f>SUM(Z11:Z79)/2</f>
        <v>0</v>
      </c>
      <c r="AA9" s="139"/>
      <c r="AB9" s="140"/>
      <c r="AC9" s="138">
        <f>SUM(AC11:AC79)/2</f>
        <v>0</v>
      </c>
      <c r="AD9" s="139"/>
      <c r="AE9" s="140"/>
      <c r="AF9" s="138">
        <f>SUM(AF11:AF79)/2</f>
        <v>0</v>
      </c>
      <c r="AG9" s="141"/>
      <c r="AH9" s="140"/>
      <c r="AI9" s="142">
        <f>SUM(AI11:AI79)/2</f>
        <v>0</v>
      </c>
      <c r="AJ9" s="141"/>
      <c r="AK9" s="140"/>
      <c r="AL9" s="210">
        <f>SUM(AL11:AL79)/2</f>
        <v>0</v>
      </c>
      <c r="AM9" s="141"/>
      <c r="AN9" s="136"/>
      <c r="AO9" s="137"/>
      <c r="AP9" s="138">
        <f>SUM(AP11:AP79)/2</f>
        <v>0</v>
      </c>
      <c r="AQ9" s="139"/>
      <c r="AR9" s="140"/>
      <c r="AS9" s="138">
        <f>SUM(AS11:AS79)/2</f>
        <v>0</v>
      </c>
      <c r="AT9" s="139"/>
      <c r="AU9" s="140"/>
      <c r="AV9" s="138">
        <f>SUM(AV11:AV79)/2</f>
        <v>0</v>
      </c>
      <c r="AW9" s="139"/>
      <c r="AX9" s="140"/>
      <c r="AY9" s="138">
        <f>SUM(AY11:AY79)/2</f>
        <v>0</v>
      </c>
      <c r="AZ9" s="141"/>
      <c r="BA9" s="140"/>
      <c r="BB9" s="142">
        <f>SUM(BB11:BB79)/2</f>
        <v>0</v>
      </c>
      <c r="BC9" s="141"/>
      <c r="BD9" s="140"/>
      <c r="BE9" s="210">
        <f>SUM(BE11:BE79)/2</f>
        <v>0</v>
      </c>
      <c r="BF9" s="141"/>
      <c r="BG9" s="136"/>
      <c r="BH9" s="137"/>
      <c r="BI9" s="138">
        <f>SUM(BI11:BI79)/2</f>
        <v>0</v>
      </c>
      <c r="BJ9" s="139"/>
      <c r="BK9" s="140"/>
      <c r="BL9" s="138">
        <f>SUM(BL11:BL79)/2</f>
        <v>0</v>
      </c>
      <c r="BM9" s="139"/>
      <c r="BN9" s="140"/>
      <c r="BO9" s="138">
        <f>SUM(BO11:BO79)/2</f>
        <v>0</v>
      </c>
      <c r="BP9" s="139"/>
      <c r="BQ9" s="140"/>
      <c r="BR9" s="138">
        <f>SUM(BR11:BR79)/2</f>
        <v>0</v>
      </c>
      <c r="BS9" s="141"/>
      <c r="BT9" s="140"/>
      <c r="BU9" s="142">
        <f>SUM(BU11:BU79)/2</f>
        <v>0</v>
      </c>
      <c r="BV9" s="141"/>
      <c r="BW9" s="140"/>
      <c r="BX9" s="210">
        <f>SUM(BX11:BX79)/2</f>
        <v>0</v>
      </c>
      <c r="BY9" s="141"/>
      <c r="BZ9" s="143"/>
      <c r="CA9" s="144"/>
      <c r="CB9" s="138">
        <f>SUM(CB11:CB79)/2</f>
        <v>1593000</v>
      </c>
      <c r="CC9" s="139"/>
      <c r="CD9" s="140"/>
      <c r="CE9" s="138">
        <f>SUM(CE11:CE79)/2</f>
        <v>227000</v>
      </c>
      <c r="CF9" s="139"/>
      <c r="CG9" s="140"/>
      <c r="CH9" s="138">
        <f>SUM(CH11:CH79)/2</f>
        <v>311000</v>
      </c>
      <c r="CI9" s="139"/>
      <c r="CJ9" s="140"/>
      <c r="CK9" s="138">
        <f>SUM(CK11:CK79)/2</f>
        <v>157000</v>
      </c>
      <c r="CL9" s="141"/>
      <c r="CM9" s="140"/>
      <c r="CN9" s="142">
        <f>SUM(CN11:CN79)/2</f>
        <v>2288000</v>
      </c>
      <c r="CO9" s="141"/>
      <c r="CP9" s="140"/>
      <c r="CQ9" s="210">
        <f>SUM(CQ11:CQ79)/2</f>
        <v>0</v>
      </c>
      <c r="CR9" s="145"/>
      <c r="CS9" s="143"/>
      <c r="CT9" s="136"/>
      <c r="CU9" s="136"/>
      <c r="CV9" s="136"/>
      <c r="CW9" s="136"/>
      <c r="CX9" s="136"/>
      <c r="CY9" s="136"/>
      <c r="CZ9" s="136"/>
      <c r="DA9" s="136"/>
      <c r="DB9" s="136"/>
      <c r="DC9" s="136"/>
      <c r="DD9" s="136"/>
      <c r="DE9" s="136"/>
      <c r="DF9" s="136"/>
      <c r="DG9" s="136"/>
      <c r="DH9" s="136"/>
      <c r="DI9" s="136"/>
      <c r="DJ9" s="136"/>
      <c r="DK9" s="136"/>
      <c r="DL9" s="136"/>
      <c r="DM9" s="136"/>
      <c r="DN9" s="136"/>
      <c r="DO9" s="136"/>
      <c r="DP9" s="136"/>
      <c r="DQ9" s="136"/>
      <c r="DR9" s="136"/>
      <c r="DS9" s="136"/>
      <c r="DT9" s="136"/>
    </row>
    <row r="10" spans="1:124" ht="14" thickBot="1" x14ac:dyDescent="0.2">
      <c r="A10" s="232"/>
      <c r="B10" s="9"/>
      <c r="C10" s="131"/>
      <c r="D10" s="132"/>
      <c r="E10" s="131"/>
      <c r="F10" s="131"/>
      <c r="G10" s="132"/>
      <c r="H10" s="131"/>
      <c r="I10" s="131"/>
      <c r="J10" s="132"/>
      <c r="K10" s="131"/>
      <c r="L10" s="131"/>
      <c r="M10" s="132"/>
      <c r="N10" s="131"/>
      <c r="O10" s="131"/>
      <c r="P10" s="132"/>
      <c r="Q10" s="131"/>
      <c r="R10" s="131"/>
      <c r="S10" s="132"/>
      <c r="T10" s="131"/>
      <c r="U10" s="133"/>
      <c r="V10" s="131"/>
      <c r="W10" s="132"/>
      <c r="X10" s="131"/>
      <c r="Y10" s="131"/>
      <c r="Z10" s="132"/>
      <c r="AA10" s="131"/>
      <c r="AB10" s="131"/>
      <c r="AC10" s="132"/>
      <c r="AD10" s="131"/>
      <c r="AE10" s="131"/>
      <c r="AF10" s="132"/>
      <c r="AG10" s="131"/>
      <c r="AH10" s="131"/>
      <c r="AI10" s="132"/>
      <c r="AJ10" s="131"/>
      <c r="AK10" s="131"/>
      <c r="AL10" s="132"/>
      <c r="AM10" s="131"/>
      <c r="AN10" s="133"/>
      <c r="AO10" s="131"/>
      <c r="AP10" s="132"/>
      <c r="AQ10" s="131"/>
      <c r="AR10" s="131"/>
      <c r="AS10" s="132"/>
      <c r="AT10" s="131"/>
      <c r="AU10" s="131"/>
      <c r="AV10" s="132"/>
      <c r="AW10" s="131"/>
      <c r="AX10" s="131"/>
      <c r="AY10" s="132"/>
      <c r="AZ10" s="131"/>
      <c r="BA10" s="131"/>
      <c r="BB10" s="132"/>
      <c r="BC10" s="131"/>
      <c r="BD10" s="131"/>
      <c r="BE10" s="132"/>
      <c r="BF10" s="131"/>
      <c r="BG10" s="133"/>
      <c r="BH10" s="131"/>
      <c r="BI10" s="132"/>
      <c r="BJ10" s="131"/>
      <c r="BK10" s="131"/>
      <c r="BL10" s="132"/>
      <c r="BM10" s="131"/>
      <c r="BN10" s="131"/>
      <c r="BO10" s="132"/>
      <c r="BP10" s="131"/>
      <c r="BQ10" s="131"/>
      <c r="BR10" s="132"/>
      <c r="BS10" s="131"/>
      <c r="BT10" s="131"/>
      <c r="BU10" s="132"/>
      <c r="BV10" s="131"/>
      <c r="BW10" s="131"/>
      <c r="BX10" s="132"/>
      <c r="BY10" s="131"/>
      <c r="BZ10" s="134"/>
      <c r="CA10" s="135"/>
      <c r="CB10" s="132"/>
      <c r="CC10" s="135"/>
      <c r="CD10" s="135"/>
      <c r="CE10" s="132"/>
      <c r="CF10" s="135"/>
      <c r="CG10" s="135"/>
      <c r="CH10" s="132"/>
      <c r="CI10" s="135"/>
      <c r="CJ10" s="135"/>
      <c r="CK10" s="132"/>
      <c r="CL10" s="135"/>
      <c r="CM10" s="135"/>
      <c r="CN10" s="132"/>
      <c r="CO10" s="131"/>
      <c r="CP10" s="131"/>
      <c r="CQ10" s="132"/>
      <c r="CR10" s="135"/>
      <c r="CS10" s="70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</row>
    <row r="11" spans="1:124" ht="14" thickTop="1" x14ac:dyDescent="0.15">
      <c r="A11" s="230"/>
      <c r="B11" s="9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9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9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9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70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16"/>
      <c r="CP11" s="16"/>
      <c r="CQ11" s="16"/>
      <c r="CR11" s="21"/>
      <c r="CS11" s="70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</row>
    <row r="12" spans="1:124" ht="16" x14ac:dyDescent="0.2">
      <c r="A12" s="233" t="s">
        <v>37</v>
      </c>
      <c r="B12" s="9"/>
      <c r="C12" s="10"/>
      <c r="D12" s="14">
        <f>SUM(D14:D33)</f>
        <v>20000</v>
      </c>
      <c r="E12" s="11"/>
      <c r="F12" s="12"/>
      <c r="G12" s="14">
        <f>SUM(G14:G33)</f>
        <v>7000</v>
      </c>
      <c r="H12" s="11"/>
      <c r="I12" s="12"/>
      <c r="J12" s="14">
        <f>SUM(J14:J33)</f>
        <v>7000</v>
      </c>
      <c r="K12" s="11"/>
      <c r="L12" s="12"/>
      <c r="M12" s="14">
        <f>SUM(M14:M33)</f>
        <v>7000</v>
      </c>
      <c r="N12" s="16"/>
      <c r="O12" s="12"/>
      <c r="P12" s="15">
        <f>SUM(P14:P33)</f>
        <v>41000</v>
      </c>
      <c r="Q12" s="16"/>
      <c r="R12" s="12"/>
      <c r="S12" s="211">
        <f>SUM(S14:S33)</f>
        <v>0</v>
      </c>
      <c r="T12" s="16"/>
      <c r="U12" s="9"/>
      <c r="V12" s="10"/>
      <c r="W12" s="14">
        <f>SUM(W14:W33)</f>
        <v>0</v>
      </c>
      <c r="X12" s="11"/>
      <c r="Y12" s="12"/>
      <c r="Z12" s="14">
        <f>SUM(Z14:Z33)</f>
        <v>0</v>
      </c>
      <c r="AA12" s="11"/>
      <c r="AB12" s="12"/>
      <c r="AC12" s="14">
        <f>SUM(AC14:AC33)</f>
        <v>0</v>
      </c>
      <c r="AD12" s="11"/>
      <c r="AE12" s="12"/>
      <c r="AF12" s="14">
        <f>SUM(AF14:AF33)</f>
        <v>0</v>
      </c>
      <c r="AG12" s="16"/>
      <c r="AH12" s="12"/>
      <c r="AI12" s="15">
        <f>SUM(AI14:AI33)</f>
        <v>0</v>
      </c>
      <c r="AJ12" s="16"/>
      <c r="AK12" s="12"/>
      <c r="AL12" s="211">
        <f>SUM(AL14:AL33)</f>
        <v>0</v>
      </c>
      <c r="AM12" s="16"/>
      <c r="AN12" s="9"/>
      <c r="AO12" s="10"/>
      <c r="AP12" s="14">
        <f>SUM(AP14:AP33)</f>
        <v>0</v>
      </c>
      <c r="AQ12" s="11"/>
      <c r="AR12" s="12"/>
      <c r="AS12" s="14">
        <f>SUM(AS14:AS33)</f>
        <v>0</v>
      </c>
      <c r="AT12" s="11"/>
      <c r="AU12" s="12"/>
      <c r="AV12" s="14">
        <f>SUM(AV14:AV33)</f>
        <v>0</v>
      </c>
      <c r="AW12" s="11"/>
      <c r="AX12" s="12"/>
      <c r="AY12" s="14">
        <f>SUM(AY14:AY33)</f>
        <v>0</v>
      </c>
      <c r="AZ12" s="16"/>
      <c r="BA12" s="12"/>
      <c r="BB12" s="15">
        <f>SUM(BB14:BB33)</f>
        <v>0</v>
      </c>
      <c r="BC12" s="16"/>
      <c r="BD12" s="12"/>
      <c r="BE12" s="211">
        <f>SUM(BE14:BE33)</f>
        <v>0</v>
      </c>
      <c r="BF12" s="16"/>
      <c r="BG12" s="9"/>
      <c r="BH12" s="10"/>
      <c r="BI12" s="14">
        <f>SUM(BI14:BI33)</f>
        <v>0</v>
      </c>
      <c r="BJ12" s="11"/>
      <c r="BK12" s="12"/>
      <c r="BL12" s="14">
        <f>SUM(BL14:BL33)</f>
        <v>0</v>
      </c>
      <c r="BM12" s="11"/>
      <c r="BN12" s="12"/>
      <c r="BO12" s="14">
        <f>SUM(BO14:BO33)</f>
        <v>0</v>
      </c>
      <c r="BP12" s="11"/>
      <c r="BQ12" s="12"/>
      <c r="BR12" s="14">
        <f>SUM(BR14:BR33)</f>
        <v>0</v>
      </c>
      <c r="BS12" s="16"/>
      <c r="BT12" s="12"/>
      <c r="BU12" s="15">
        <f>SUM(BU14:BU33)</f>
        <v>0</v>
      </c>
      <c r="BV12" s="16"/>
      <c r="BW12" s="12"/>
      <c r="BX12" s="211">
        <f>SUM(BX14:BX33)</f>
        <v>0</v>
      </c>
      <c r="BY12" s="16"/>
      <c r="BZ12" s="70"/>
      <c r="CA12" s="71"/>
      <c r="CB12" s="72">
        <f>SUM(CB14:CB33)</f>
        <v>20000</v>
      </c>
      <c r="CC12" s="73"/>
      <c r="CD12" s="74"/>
      <c r="CE12" s="72">
        <f>SUM(CE14:CE33)</f>
        <v>7000</v>
      </c>
      <c r="CF12" s="73"/>
      <c r="CG12" s="74"/>
      <c r="CH12" s="72">
        <f>SUM(CH14:CH33)</f>
        <v>7000</v>
      </c>
      <c r="CI12" s="73"/>
      <c r="CJ12" s="74"/>
      <c r="CK12" s="72">
        <f>SUM(CK14:CK33)</f>
        <v>7000</v>
      </c>
      <c r="CL12" s="21"/>
      <c r="CM12" s="74"/>
      <c r="CN12" s="237">
        <f>SUM(CN14:CN33)</f>
        <v>41000</v>
      </c>
      <c r="CO12" s="16"/>
      <c r="CP12" s="12"/>
      <c r="CQ12" s="211">
        <f>SUM(CQ14:CQ33)</f>
        <v>0</v>
      </c>
      <c r="CR12" s="21"/>
      <c r="CS12" s="70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</row>
    <row r="13" spans="1:124" outlineLevel="1" x14ac:dyDescent="0.15">
      <c r="A13" s="234"/>
      <c r="B13" s="9"/>
      <c r="C13" s="16"/>
      <c r="D13" s="17"/>
      <c r="E13" s="16"/>
      <c r="F13" s="16"/>
      <c r="G13" s="17"/>
      <c r="H13" s="16"/>
      <c r="I13" s="16"/>
      <c r="J13" s="17"/>
      <c r="K13" s="16"/>
      <c r="L13" s="16"/>
      <c r="M13" s="17"/>
      <c r="N13" s="16"/>
      <c r="O13" s="16"/>
      <c r="P13" s="17"/>
      <c r="Q13" s="16"/>
      <c r="R13" s="16"/>
      <c r="S13" s="17"/>
      <c r="T13" s="16"/>
      <c r="U13" s="9"/>
      <c r="V13" s="16"/>
      <c r="W13" s="17"/>
      <c r="X13" s="16"/>
      <c r="Y13" s="16"/>
      <c r="Z13" s="17"/>
      <c r="AA13" s="16"/>
      <c r="AB13" s="16"/>
      <c r="AC13" s="17"/>
      <c r="AD13" s="16"/>
      <c r="AE13" s="16"/>
      <c r="AF13" s="17"/>
      <c r="AG13" s="16"/>
      <c r="AH13" s="16"/>
      <c r="AI13" s="17"/>
      <c r="AJ13" s="16"/>
      <c r="AK13" s="16"/>
      <c r="AL13" s="17"/>
      <c r="AM13" s="16"/>
      <c r="AN13" s="9"/>
      <c r="AO13" s="16"/>
      <c r="AP13" s="17"/>
      <c r="AQ13" s="16"/>
      <c r="AR13" s="16"/>
      <c r="AS13" s="17"/>
      <c r="AT13" s="16"/>
      <c r="AU13" s="16"/>
      <c r="AV13" s="17"/>
      <c r="AW13" s="16"/>
      <c r="AX13" s="16"/>
      <c r="AY13" s="17"/>
      <c r="AZ13" s="16"/>
      <c r="BA13" s="16"/>
      <c r="BB13" s="17"/>
      <c r="BC13" s="16"/>
      <c r="BD13" s="16"/>
      <c r="BE13" s="17"/>
      <c r="BF13" s="16"/>
      <c r="BG13" s="9"/>
      <c r="BH13" s="16"/>
      <c r="BI13" s="17"/>
      <c r="BJ13" s="16"/>
      <c r="BK13" s="16"/>
      <c r="BL13" s="17"/>
      <c r="BM13" s="16"/>
      <c r="BN13" s="16"/>
      <c r="BO13" s="17"/>
      <c r="BP13" s="16"/>
      <c r="BQ13" s="16"/>
      <c r="BR13" s="17"/>
      <c r="BS13" s="16"/>
      <c r="BT13" s="16"/>
      <c r="BU13" s="17"/>
      <c r="BV13" s="16"/>
      <c r="BW13" s="16"/>
      <c r="BX13" s="17"/>
      <c r="BY13" s="16"/>
      <c r="BZ13" s="70"/>
      <c r="CA13" s="21"/>
      <c r="CB13" s="17"/>
      <c r="CC13" s="21"/>
      <c r="CD13" s="21"/>
      <c r="CE13" s="17"/>
      <c r="CF13" s="21"/>
      <c r="CG13" s="21"/>
      <c r="CH13" s="17"/>
      <c r="CI13" s="21"/>
      <c r="CJ13" s="21"/>
      <c r="CK13" s="17"/>
      <c r="CL13" s="21"/>
      <c r="CM13" s="21"/>
      <c r="CN13" s="17"/>
      <c r="CO13" s="16"/>
      <c r="CP13" s="16"/>
      <c r="CQ13" s="17"/>
      <c r="CR13" s="21"/>
      <c r="CS13" s="70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</row>
    <row r="14" spans="1:124" outlineLevel="1" x14ac:dyDescent="0.15">
      <c r="A14" s="242" t="s">
        <v>81</v>
      </c>
      <c r="B14" s="9"/>
      <c r="C14" s="18"/>
      <c r="D14" s="43">
        <v>20000</v>
      </c>
      <c r="E14" s="5"/>
      <c r="F14" s="44"/>
      <c r="G14" s="43">
        <v>7000</v>
      </c>
      <c r="H14" s="5"/>
      <c r="I14" s="44"/>
      <c r="J14" s="43">
        <v>7000</v>
      </c>
      <c r="K14" s="5"/>
      <c r="L14" s="44"/>
      <c r="M14" s="43">
        <v>7000</v>
      </c>
      <c r="N14" s="16"/>
      <c r="O14" s="18"/>
      <c r="P14" s="19">
        <f>SUM(D14:M14)</f>
        <v>41000</v>
      </c>
      <c r="Q14" s="16"/>
      <c r="R14" s="18"/>
      <c r="S14" s="238"/>
      <c r="T14" s="16"/>
      <c r="U14" s="9"/>
      <c r="V14" s="18"/>
      <c r="W14" s="43">
        <v>0</v>
      </c>
      <c r="X14" s="5"/>
      <c r="Y14" s="44"/>
      <c r="Z14" s="43">
        <v>0</v>
      </c>
      <c r="AA14" s="5"/>
      <c r="AB14" s="44"/>
      <c r="AC14" s="43">
        <v>0</v>
      </c>
      <c r="AD14" s="5"/>
      <c r="AE14" s="44"/>
      <c r="AF14" s="43">
        <v>0</v>
      </c>
      <c r="AG14" s="16"/>
      <c r="AH14" s="18"/>
      <c r="AI14" s="19">
        <f>SUM(W14:AF14)</f>
        <v>0</v>
      </c>
      <c r="AJ14" s="16"/>
      <c r="AK14" s="18"/>
      <c r="AL14" s="238"/>
      <c r="AM14" s="16"/>
      <c r="AN14" s="9"/>
      <c r="AO14" s="18"/>
      <c r="AP14" s="43">
        <v>0</v>
      </c>
      <c r="AQ14" s="5"/>
      <c r="AR14" s="44"/>
      <c r="AS14" s="43">
        <v>0</v>
      </c>
      <c r="AT14" s="5"/>
      <c r="AU14" s="44"/>
      <c r="AV14" s="43">
        <v>0</v>
      </c>
      <c r="AW14" s="5"/>
      <c r="AX14" s="44"/>
      <c r="AY14" s="43">
        <v>0</v>
      </c>
      <c r="AZ14" s="16"/>
      <c r="BA14" s="18"/>
      <c r="BB14" s="19">
        <f>SUM(AP14:AY14)</f>
        <v>0</v>
      </c>
      <c r="BC14" s="16"/>
      <c r="BD14" s="18"/>
      <c r="BE14" s="238"/>
      <c r="BF14" s="16"/>
      <c r="BG14" s="9"/>
      <c r="BH14" s="18"/>
      <c r="BI14" s="43">
        <v>0</v>
      </c>
      <c r="BJ14" s="5"/>
      <c r="BK14" s="44"/>
      <c r="BL14" s="43">
        <v>0</v>
      </c>
      <c r="BM14" s="5"/>
      <c r="BN14" s="44"/>
      <c r="BO14" s="43">
        <v>0</v>
      </c>
      <c r="BP14" s="5"/>
      <c r="BQ14" s="44"/>
      <c r="BR14" s="43">
        <v>0</v>
      </c>
      <c r="BS14" s="16"/>
      <c r="BT14" s="18"/>
      <c r="BU14" s="19">
        <f>SUM(BI14:BR14)</f>
        <v>0</v>
      </c>
      <c r="BV14" s="16"/>
      <c r="BW14" s="18"/>
      <c r="BX14" s="238"/>
      <c r="BY14" s="16"/>
      <c r="BZ14" s="70"/>
      <c r="CA14" s="75"/>
      <c r="CB14" s="79">
        <f>+D14+W14+AP14+BI14</f>
        <v>20000</v>
      </c>
      <c r="CC14" s="76"/>
      <c r="CD14" s="77"/>
      <c r="CE14" s="79">
        <f>+G14+Z14+AS14+BL14</f>
        <v>7000</v>
      </c>
      <c r="CF14" s="76"/>
      <c r="CG14" s="77"/>
      <c r="CH14" s="79">
        <f>+J14+AC14+AV14+BO14</f>
        <v>7000</v>
      </c>
      <c r="CI14" s="76"/>
      <c r="CJ14" s="77"/>
      <c r="CK14" s="79">
        <f>+M14+AF14+AY14+BR14</f>
        <v>7000</v>
      </c>
      <c r="CL14" s="21"/>
      <c r="CM14" s="75"/>
      <c r="CN14" s="19">
        <f>SUM(CB14:CK14)</f>
        <v>41000</v>
      </c>
      <c r="CO14" s="16"/>
      <c r="CP14" s="18"/>
      <c r="CQ14" s="238">
        <f>+S14+AL14+BE14+BX14</f>
        <v>0</v>
      </c>
      <c r="CR14" s="21"/>
      <c r="CS14" s="70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</row>
    <row r="15" spans="1:124" outlineLevel="1" x14ac:dyDescent="0.15">
      <c r="A15" s="230"/>
      <c r="B15" s="9"/>
      <c r="C15" s="16"/>
      <c r="D15" s="45"/>
      <c r="E15" s="5"/>
      <c r="F15" s="5"/>
      <c r="G15" s="45"/>
      <c r="H15" s="5"/>
      <c r="I15" s="5"/>
      <c r="J15" s="45"/>
      <c r="K15" s="5"/>
      <c r="L15" s="5"/>
      <c r="M15" s="45"/>
      <c r="N15" s="16"/>
      <c r="O15" s="16"/>
      <c r="P15" s="20"/>
      <c r="Q15" s="16"/>
      <c r="R15" s="16"/>
      <c r="S15" s="218"/>
      <c r="T15" s="16"/>
      <c r="U15" s="9"/>
      <c r="V15" s="16"/>
      <c r="W15" s="45"/>
      <c r="X15" s="5"/>
      <c r="Y15" s="5"/>
      <c r="Z15" s="45"/>
      <c r="AA15" s="5"/>
      <c r="AB15" s="5"/>
      <c r="AC15" s="45"/>
      <c r="AD15" s="5"/>
      <c r="AE15" s="5"/>
      <c r="AF15" s="45"/>
      <c r="AG15" s="16"/>
      <c r="AH15" s="16"/>
      <c r="AI15" s="20"/>
      <c r="AJ15" s="16"/>
      <c r="AK15" s="16"/>
      <c r="AL15" s="218"/>
      <c r="AM15" s="16"/>
      <c r="AN15" s="9"/>
      <c r="AO15" s="16"/>
      <c r="AP15" s="45"/>
      <c r="AQ15" s="5"/>
      <c r="AR15" s="5"/>
      <c r="AS15" s="45"/>
      <c r="AT15" s="5"/>
      <c r="AU15" s="5"/>
      <c r="AV15" s="45"/>
      <c r="AW15" s="5"/>
      <c r="AX15" s="5"/>
      <c r="AY15" s="45"/>
      <c r="AZ15" s="16"/>
      <c r="BA15" s="16"/>
      <c r="BB15" s="20"/>
      <c r="BC15" s="16"/>
      <c r="BD15" s="16"/>
      <c r="BE15" s="218"/>
      <c r="BF15" s="16"/>
      <c r="BG15" s="9"/>
      <c r="BH15" s="16"/>
      <c r="BI15" s="45"/>
      <c r="BJ15" s="5"/>
      <c r="BK15" s="5"/>
      <c r="BL15" s="45"/>
      <c r="BM15" s="5"/>
      <c r="BN15" s="5"/>
      <c r="BO15" s="45"/>
      <c r="BP15" s="5"/>
      <c r="BQ15" s="5"/>
      <c r="BR15" s="45"/>
      <c r="BS15" s="16"/>
      <c r="BT15" s="16"/>
      <c r="BU15" s="20"/>
      <c r="BV15" s="16"/>
      <c r="BW15" s="16"/>
      <c r="BX15" s="218"/>
      <c r="BY15" s="16"/>
      <c r="BZ15" s="70"/>
      <c r="CA15" s="21"/>
      <c r="CB15" s="45"/>
      <c r="CC15" s="76"/>
      <c r="CD15" s="76"/>
      <c r="CE15" s="45"/>
      <c r="CF15" s="76"/>
      <c r="CG15" s="76"/>
      <c r="CH15" s="45"/>
      <c r="CI15" s="76"/>
      <c r="CJ15" s="76"/>
      <c r="CK15" s="45"/>
      <c r="CL15" s="21"/>
      <c r="CM15" s="21"/>
      <c r="CN15" s="20"/>
      <c r="CO15" s="16"/>
      <c r="CP15" s="16"/>
      <c r="CQ15" s="218"/>
      <c r="CR15" s="21"/>
      <c r="CS15" s="70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</row>
    <row r="16" spans="1:124" outlineLevel="1" x14ac:dyDescent="0.15">
      <c r="A16" s="235"/>
      <c r="B16" s="9"/>
      <c r="C16" s="18"/>
      <c r="D16" s="43">
        <v>0</v>
      </c>
      <c r="E16" s="5"/>
      <c r="F16" s="44"/>
      <c r="G16" s="43">
        <v>0</v>
      </c>
      <c r="H16" s="5"/>
      <c r="I16" s="44"/>
      <c r="J16" s="43">
        <v>0</v>
      </c>
      <c r="K16" s="5"/>
      <c r="L16" s="44"/>
      <c r="M16" s="43">
        <v>0</v>
      </c>
      <c r="N16" s="16"/>
      <c r="O16" s="18"/>
      <c r="P16" s="19">
        <f>SUM(D16:M16)</f>
        <v>0</v>
      </c>
      <c r="Q16" s="16"/>
      <c r="R16" s="18"/>
      <c r="S16" s="238"/>
      <c r="T16" s="16"/>
      <c r="U16" s="9"/>
      <c r="V16" s="18"/>
      <c r="W16" s="43">
        <v>0</v>
      </c>
      <c r="X16" s="5"/>
      <c r="Y16" s="44"/>
      <c r="Z16" s="43">
        <v>0</v>
      </c>
      <c r="AA16" s="5"/>
      <c r="AB16" s="44"/>
      <c r="AC16" s="43">
        <v>0</v>
      </c>
      <c r="AD16" s="5"/>
      <c r="AE16" s="44"/>
      <c r="AF16" s="43">
        <v>0</v>
      </c>
      <c r="AG16" s="16"/>
      <c r="AH16" s="18"/>
      <c r="AI16" s="19">
        <f>SUM(W16:AF16)</f>
        <v>0</v>
      </c>
      <c r="AJ16" s="16"/>
      <c r="AK16" s="18"/>
      <c r="AL16" s="238"/>
      <c r="AM16" s="16"/>
      <c r="AN16" s="9"/>
      <c r="AO16" s="18"/>
      <c r="AP16" s="43">
        <v>0</v>
      </c>
      <c r="AQ16" s="5"/>
      <c r="AR16" s="44"/>
      <c r="AS16" s="43">
        <v>0</v>
      </c>
      <c r="AT16" s="5"/>
      <c r="AU16" s="44"/>
      <c r="AV16" s="43">
        <v>0</v>
      </c>
      <c r="AW16" s="5"/>
      <c r="AX16" s="44"/>
      <c r="AY16" s="43">
        <v>0</v>
      </c>
      <c r="AZ16" s="16"/>
      <c r="BA16" s="18"/>
      <c r="BB16" s="19">
        <f>SUM(AP16:AY16)</f>
        <v>0</v>
      </c>
      <c r="BC16" s="16"/>
      <c r="BD16" s="18"/>
      <c r="BE16" s="238"/>
      <c r="BF16" s="16"/>
      <c r="BG16" s="9"/>
      <c r="BH16" s="18"/>
      <c r="BI16" s="43">
        <v>0</v>
      </c>
      <c r="BJ16" s="5"/>
      <c r="BK16" s="44"/>
      <c r="BL16" s="43">
        <v>0</v>
      </c>
      <c r="BM16" s="5"/>
      <c r="BN16" s="44"/>
      <c r="BO16" s="43">
        <v>0</v>
      </c>
      <c r="BP16" s="5"/>
      <c r="BQ16" s="44"/>
      <c r="BR16" s="43">
        <v>0</v>
      </c>
      <c r="BS16" s="16"/>
      <c r="BT16" s="18"/>
      <c r="BU16" s="19">
        <f>SUM(BI16:BR16)</f>
        <v>0</v>
      </c>
      <c r="BV16" s="16"/>
      <c r="BW16" s="18"/>
      <c r="BX16" s="238"/>
      <c r="BY16" s="16"/>
      <c r="BZ16" s="70"/>
      <c r="CA16" s="75"/>
      <c r="CB16" s="79">
        <f>+D16+W16+AP16+BI16</f>
        <v>0</v>
      </c>
      <c r="CC16" s="76"/>
      <c r="CD16" s="77"/>
      <c r="CE16" s="79">
        <f>+G16+Z16+AS16+BL16</f>
        <v>0</v>
      </c>
      <c r="CF16" s="76"/>
      <c r="CG16" s="77"/>
      <c r="CH16" s="79">
        <f>+J16+AC16+AV16+BO16</f>
        <v>0</v>
      </c>
      <c r="CI16" s="76"/>
      <c r="CJ16" s="77"/>
      <c r="CK16" s="79">
        <f>+M16+AF16+AY16+BR16</f>
        <v>0</v>
      </c>
      <c r="CL16" s="21"/>
      <c r="CM16" s="75"/>
      <c r="CN16" s="19">
        <f>SUM(CB16:CK16)</f>
        <v>0</v>
      </c>
      <c r="CO16" s="16"/>
      <c r="CP16" s="18"/>
      <c r="CQ16" s="238">
        <f>+S16+AL16+BE16+BX16</f>
        <v>0</v>
      </c>
      <c r="CR16" s="21"/>
      <c r="CS16" s="70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</row>
    <row r="17" spans="1:124" outlineLevel="1" x14ac:dyDescent="0.15">
      <c r="A17" s="234"/>
      <c r="B17" s="9"/>
      <c r="C17" s="16"/>
      <c r="D17" s="46"/>
      <c r="E17" s="5"/>
      <c r="F17" s="5"/>
      <c r="G17" s="46"/>
      <c r="H17" s="5"/>
      <c r="I17" s="5"/>
      <c r="J17" s="46"/>
      <c r="K17" s="5"/>
      <c r="L17" s="5"/>
      <c r="M17" s="46"/>
      <c r="N17" s="16"/>
      <c r="O17" s="16"/>
      <c r="P17" s="17"/>
      <c r="Q17" s="16"/>
      <c r="R17" s="16"/>
      <c r="S17" s="219"/>
      <c r="T17" s="16"/>
      <c r="U17" s="9"/>
      <c r="V17" s="16"/>
      <c r="W17" s="46"/>
      <c r="X17" s="5"/>
      <c r="Y17" s="5"/>
      <c r="Z17" s="46"/>
      <c r="AA17" s="5"/>
      <c r="AB17" s="5"/>
      <c r="AC17" s="46"/>
      <c r="AD17" s="5"/>
      <c r="AE17" s="5"/>
      <c r="AF17" s="46"/>
      <c r="AG17" s="16"/>
      <c r="AH17" s="16"/>
      <c r="AI17" s="17"/>
      <c r="AJ17" s="16"/>
      <c r="AK17" s="16"/>
      <c r="AL17" s="219"/>
      <c r="AM17" s="16"/>
      <c r="AN17" s="9"/>
      <c r="AO17" s="16"/>
      <c r="AP17" s="46"/>
      <c r="AQ17" s="5"/>
      <c r="AR17" s="5"/>
      <c r="AS17" s="46"/>
      <c r="AT17" s="5"/>
      <c r="AU17" s="5"/>
      <c r="AV17" s="46"/>
      <c r="AW17" s="5"/>
      <c r="AX17" s="5"/>
      <c r="AY17" s="46"/>
      <c r="AZ17" s="16"/>
      <c r="BA17" s="16"/>
      <c r="BB17" s="17"/>
      <c r="BC17" s="16"/>
      <c r="BD17" s="16"/>
      <c r="BE17" s="219"/>
      <c r="BF17" s="16"/>
      <c r="BG17" s="9"/>
      <c r="BH17" s="16"/>
      <c r="BI17" s="46"/>
      <c r="BJ17" s="5"/>
      <c r="BK17" s="5"/>
      <c r="BL17" s="46"/>
      <c r="BM17" s="5"/>
      <c r="BN17" s="5"/>
      <c r="BO17" s="46"/>
      <c r="BP17" s="5"/>
      <c r="BQ17" s="5"/>
      <c r="BR17" s="46"/>
      <c r="BS17" s="16"/>
      <c r="BT17" s="16"/>
      <c r="BU17" s="17"/>
      <c r="BV17" s="16"/>
      <c r="BW17" s="16"/>
      <c r="BX17" s="219"/>
      <c r="BY17" s="16"/>
      <c r="BZ17" s="70"/>
      <c r="CA17" s="21"/>
      <c r="CB17" s="46"/>
      <c r="CC17" s="76"/>
      <c r="CD17" s="76"/>
      <c r="CE17" s="46"/>
      <c r="CF17" s="76"/>
      <c r="CG17" s="76"/>
      <c r="CH17" s="46"/>
      <c r="CI17" s="76"/>
      <c r="CJ17" s="76"/>
      <c r="CK17" s="46"/>
      <c r="CL17" s="21"/>
      <c r="CM17" s="21"/>
      <c r="CN17" s="17"/>
      <c r="CO17" s="16"/>
      <c r="CP17" s="16"/>
      <c r="CQ17" s="219"/>
      <c r="CR17" s="21"/>
      <c r="CS17" s="70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</row>
    <row r="18" spans="1:124" outlineLevel="1" x14ac:dyDescent="0.15">
      <c r="A18" s="235"/>
      <c r="B18" s="9"/>
      <c r="C18" s="18"/>
      <c r="D18" s="43">
        <v>0</v>
      </c>
      <c r="E18" s="5"/>
      <c r="F18" s="44"/>
      <c r="G18" s="43">
        <v>0</v>
      </c>
      <c r="H18" s="5"/>
      <c r="I18" s="44"/>
      <c r="J18" s="43">
        <v>0</v>
      </c>
      <c r="K18" s="5"/>
      <c r="L18" s="44"/>
      <c r="M18" s="43">
        <v>0</v>
      </c>
      <c r="N18" s="16"/>
      <c r="O18" s="18"/>
      <c r="P18" s="19">
        <f>SUM(D18:M18)</f>
        <v>0</v>
      </c>
      <c r="Q18" s="16"/>
      <c r="R18" s="18"/>
      <c r="S18" s="238"/>
      <c r="T18" s="16"/>
      <c r="U18" s="9"/>
      <c r="V18" s="18"/>
      <c r="W18" s="43">
        <v>0</v>
      </c>
      <c r="X18" s="5"/>
      <c r="Y18" s="44"/>
      <c r="Z18" s="43">
        <v>0</v>
      </c>
      <c r="AA18" s="5"/>
      <c r="AB18" s="44"/>
      <c r="AC18" s="43">
        <v>0</v>
      </c>
      <c r="AD18" s="5"/>
      <c r="AE18" s="44"/>
      <c r="AF18" s="43">
        <v>0</v>
      </c>
      <c r="AG18" s="16"/>
      <c r="AH18" s="18"/>
      <c r="AI18" s="19">
        <f>SUM(W18:AF18)</f>
        <v>0</v>
      </c>
      <c r="AJ18" s="16"/>
      <c r="AK18" s="18"/>
      <c r="AL18" s="238"/>
      <c r="AM18" s="16"/>
      <c r="AN18" s="9"/>
      <c r="AO18" s="18"/>
      <c r="AP18" s="43">
        <v>0</v>
      </c>
      <c r="AQ18" s="5"/>
      <c r="AR18" s="44"/>
      <c r="AS18" s="43">
        <v>0</v>
      </c>
      <c r="AT18" s="5"/>
      <c r="AU18" s="44"/>
      <c r="AV18" s="43">
        <v>0</v>
      </c>
      <c r="AW18" s="5"/>
      <c r="AX18" s="44"/>
      <c r="AY18" s="43">
        <v>0</v>
      </c>
      <c r="AZ18" s="16"/>
      <c r="BA18" s="18"/>
      <c r="BB18" s="19">
        <f>SUM(AP18:AY18)</f>
        <v>0</v>
      </c>
      <c r="BC18" s="16"/>
      <c r="BD18" s="18"/>
      <c r="BE18" s="238"/>
      <c r="BF18" s="16"/>
      <c r="BG18" s="9"/>
      <c r="BH18" s="18"/>
      <c r="BI18" s="43">
        <v>0</v>
      </c>
      <c r="BJ18" s="5"/>
      <c r="BK18" s="44"/>
      <c r="BL18" s="43">
        <v>0</v>
      </c>
      <c r="BM18" s="5"/>
      <c r="BN18" s="44"/>
      <c r="BO18" s="43">
        <v>0</v>
      </c>
      <c r="BP18" s="5"/>
      <c r="BQ18" s="44"/>
      <c r="BR18" s="43">
        <v>0</v>
      </c>
      <c r="BS18" s="16"/>
      <c r="BT18" s="18"/>
      <c r="BU18" s="19">
        <f>SUM(BI18:BR18)</f>
        <v>0</v>
      </c>
      <c r="BV18" s="16"/>
      <c r="BW18" s="18"/>
      <c r="BX18" s="238"/>
      <c r="BY18" s="16"/>
      <c r="BZ18" s="70"/>
      <c r="CA18" s="75"/>
      <c r="CB18" s="79">
        <f>+D18+W18+AP18+BI18</f>
        <v>0</v>
      </c>
      <c r="CC18" s="76"/>
      <c r="CD18" s="77"/>
      <c r="CE18" s="79">
        <f>+G18+Z18+AS18+BL18</f>
        <v>0</v>
      </c>
      <c r="CF18" s="76"/>
      <c r="CG18" s="77"/>
      <c r="CH18" s="79">
        <f>+J18+AC18+AV18+BO18</f>
        <v>0</v>
      </c>
      <c r="CI18" s="76"/>
      <c r="CJ18" s="77"/>
      <c r="CK18" s="79">
        <f>+M18+AF18+AY18+BR18</f>
        <v>0</v>
      </c>
      <c r="CL18" s="21"/>
      <c r="CM18" s="75"/>
      <c r="CN18" s="19">
        <f>SUM(CB18:CK18)</f>
        <v>0</v>
      </c>
      <c r="CO18" s="16"/>
      <c r="CP18" s="18"/>
      <c r="CQ18" s="238">
        <f>+S18+AL18+BE18+BX18</f>
        <v>0</v>
      </c>
      <c r="CR18" s="21"/>
      <c r="CS18" s="70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</row>
    <row r="19" spans="1:124" outlineLevel="1" x14ac:dyDescent="0.15">
      <c r="A19" s="234"/>
      <c r="B19" s="9"/>
      <c r="C19" s="16"/>
      <c r="D19" s="45"/>
      <c r="E19" s="5"/>
      <c r="F19" s="5"/>
      <c r="G19" s="45"/>
      <c r="H19" s="5"/>
      <c r="I19" s="5"/>
      <c r="J19" s="45"/>
      <c r="K19" s="5"/>
      <c r="L19" s="5"/>
      <c r="M19" s="45"/>
      <c r="N19" s="16"/>
      <c r="O19" s="16"/>
      <c r="P19" s="17"/>
      <c r="Q19" s="16"/>
      <c r="R19" s="16"/>
      <c r="S19" s="218"/>
      <c r="T19" s="16"/>
      <c r="U19" s="9"/>
      <c r="V19" s="16"/>
      <c r="W19" s="45"/>
      <c r="X19" s="5"/>
      <c r="Y19" s="5"/>
      <c r="Z19" s="45"/>
      <c r="AA19" s="5"/>
      <c r="AB19" s="5"/>
      <c r="AC19" s="45"/>
      <c r="AD19" s="5"/>
      <c r="AE19" s="5"/>
      <c r="AF19" s="45"/>
      <c r="AG19" s="16"/>
      <c r="AH19" s="16"/>
      <c r="AI19" s="17"/>
      <c r="AJ19" s="16"/>
      <c r="AK19" s="16"/>
      <c r="AL19" s="218"/>
      <c r="AM19" s="16"/>
      <c r="AN19" s="9"/>
      <c r="AO19" s="16"/>
      <c r="AP19" s="45"/>
      <c r="AQ19" s="5"/>
      <c r="AR19" s="5"/>
      <c r="AS19" s="45"/>
      <c r="AT19" s="5"/>
      <c r="AU19" s="5"/>
      <c r="AV19" s="45"/>
      <c r="AW19" s="5"/>
      <c r="AX19" s="5"/>
      <c r="AY19" s="45"/>
      <c r="AZ19" s="16"/>
      <c r="BA19" s="16"/>
      <c r="BB19" s="17"/>
      <c r="BC19" s="16"/>
      <c r="BD19" s="16"/>
      <c r="BE19" s="218"/>
      <c r="BF19" s="16"/>
      <c r="BG19" s="9"/>
      <c r="BH19" s="16"/>
      <c r="BI19" s="45"/>
      <c r="BJ19" s="5"/>
      <c r="BK19" s="5"/>
      <c r="BL19" s="45"/>
      <c r="BM19" s="5"/>
      <c r="BN19" s="5"/>
      <c r="BO19" s="45"/>
      <c r="BP19" s="5"/>
      <c r="BQ19" s="5"/>
      <c r="BR19" s="45"/>
      <c r="BS19" s="16"/>
      <c r="BT19" s="16"/>
      <c r="BU19" s="17"/>
      <c r="BV19" s="16"/>
      <c r="BW19" s="16"/>
      <c r="BX19" s="218"/>
      <c r="BY19" s="16"/>
      <c r="BZ19" s="70"/>
      <c r="CA19" s="21"/>
      <c r="CB19" s="45"/>
      <c r="CC19" s="76"/>
      <c r="CD19" s="76"/>
      <c r="CE19" s="45"/>
      <c r="CF19" s="76"/>
      <c r="CG19" s="76"/>
      <c r="CH19" s="45"/>
      <c r="CI19" s="76"/>
      <c r="CJ19" s="76"/>
      <c r="CK19" s="45"/>
      <c r="CL19" s="21"/>
      <c r="CM19" s="21"/>
      <c r="CN19" s="17"/>
      <c r="CO19" s="16"/>
      <c r="CP19" s="16"/>
      <c r="CQ19" s="218"/>
      <c r="CR19" s="21"/>
      <c r="CS19" s="70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</row>
    <row r="20" spans="1:124" outlineLevel="1" x14ac:dyDescent="0.15">
      <c r="A20" s="235"/>
      <c r="B20" s="9"/>
      <c r="C20" s="18"/>
      <c r="D20" s="43">
        <v>0</v>
      </c>
      <c r="E20" s="5"/>
      <c r="F20" s="44"/>
      <c r="G20" s="43">
        <v>0</v>
      </c>
      <c r="H20" s="5"/>
      <c r="I20" s="44"/>
      <c r="J20" s="43">
        <v>0</v>
      </c>
      <c r="K20" s="5"/>
      <c r="L20" s="44"/>
      <c r="M20" s="43">
        <v>0</v>
      </c>
      <c r="N20" s="16"/>
      <c r="O20" s="18"/>
      <c r="P20" s="19">
        <f>SUM(D20:M20)</f>
        <v>0</v>
      </c>
      <c r="Q20" s="16"/>
      <c r="R20" s="18"/>
      <c r="S20" s="238"/>
      <c r="T20" s="16"/>
      <c r="U20" s="9"/>
      <c r="V20" s="18"/>
      <c r="W20" s="43">
        <v>0</v>
      </c>
      <c r="X20" s="5"/>
      <c r="Y20" s="44"/>
      <c r="Z20" s="43">
        <v>0</v>
      </c>
      <c r="AA20" s="5"/>
      <c r="AB20" s="44"/>
      <c r="AC20" s="43">
        <v>0</v>
      </c>
      <c r="AD20" s="5"/>
      <c r="AE20" s="44"/>
      <c r="AF20" s="43">
        <v>0</v>
      </c>
      <c r="AG20" s="16"/>
      <c r="AH20" s="18"/>
      <c r="AI20" s="19">
        <f>SUM(W20:AF20)</f>
        <v>0</v>
      </c>
      <c r="AJ20" s="16"/>
      <c r="AK20" s="18"/>
      <c r="AL20" s="238"/>
      <c r="AM20" s="16"/>
      <c r="AN20" s="9"/>
      <c r="AO20" s="18"/>
      <c r="AP20" s="43">
        <v>0</v>
      </c>
      <c r="AQ20" s="5"/>
      <c r="AR20" s="44"/>
      <c r="AS20" s="43">
        <v>0</v>
      </c>
      <c r="AT20" s="5"/>
      <c r="AU20" s="44"/>
      <c r="AV20" s="43">
        <v>0</v>
      </c>
      <c r="AW20" s="5"/>
      <c r="AX20" s="44"/>
      <c r="AY20" s="43">
        <v>0</v>
      </c>
      <c r="AZ20" s="16"/>
      <c r="BA20" s="18"/>
      <c r="BB20" s="19">
        <f>SUM(AP20:AY20)</f>
        <v>0</v>
      </c>
      <c r="BC20" s="16"/>
      <c r="BD20" s="18"/>
      <c r="BE20" s="238"/>
      <c r="BF20" s="16"/>
      <c r="BG20" s="9"/>
      <c r="BH20" s="18"/>
      <c r="BI20" s="43">
        <v>0</v>
      </c>
      <c r="BJ20" s="5"/>
      <c r="BK20" s="44"/>
      <c r="BL20" s="43">
        <v>0</v>
      </c>
      <c r="BM20" s="5"/>
      <c r="BN20" s="44"/>
      <c r="BO20" s="43">
        <v>0</v>
      </c>
      <c r="BP20" s="5"/>
      <c r="BQ20" s="44"/>
      <c r="BR20" s="43">
        <v>0</v>
      </c>
      <c r="BS20" s="16"/>
      <c r="BT20" s="18"/>
      <c r="BU20" s="19">
        <f>SUM(BI20:BR20)</f>
        <v>0</v>
      </c>
      <c r="BV20" s="16"/>
      <c r="BW20" s="18"/>
      <c r="BX20" s="238"/>
      <c r="BY20" s="16"/>
      <c r="BZ20" s="70"/>
      <c r="CA20" s="75"/>
      <c r="CB20" s="79">
        <f>+D20+W20+AP20+BI20</f>
        <v>0</v>
      </c>
      <c r="CC20" s="76"/>
      <c r="CD20" s="77"/>
      <c r="CE20" s="79">
        <f>+G20+Z20+AS20+BL20</f>
        <v>0</v>
      </c>
      <c r="CF20" s="76"/>
      <c r="CG20" s="77"/>
      <c r="CH20" s="79">
        <f>+J20+AC20+AV20+BO20</f>
        <v>0</v>
      </c>
      <c r="CI20" s="76"/>
      <c r="CJ20" s="77"/>
      <c r="CK20" s="79">
        <f>+M20+AF20+AY20+BR20</f>
        <v>0</v>
      </c>
      <c r="CL20" s="21"/>
      <c r="CM20" s="75"/>
      <c r="CN20" s="19">
        <f>SUM(CB20:CK20)</f>
        <v>0</v>
      </c>
      <c r="CO20" s="16"/>
      <c r="CP20" s="18"/>
      <c r="CQ20" s="238">
        <f>+S20+AL20+BE20+BX20</f>
        <v>0</v>
      </c>
      <c r="CR20" s="21"/>
      <c r="CS20" s="70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</row>
    <row r="21" spans="1:124" outlineLevel="1" x14ac:dyDescent="0.15">
      <c r="A21" s="234"/>
      <c r="B21" s="9"/>
      <c r="C21" s="16"/>
      <c r="D21" s="46"/>
      <c r="E21" s="5"/>
      <c r="F21" s="5"/>
      <c r="G21" s="46"/>
      <c r="H21" s="5"/>
      <c r="I21" s="5"/>
      <c r="J21" s="46"/>
      <c r="K21" s="5"/>
      <c r="L21" s="5"/>
      <c r="M21" s="46"/>
      <c r="N21" s="16"/>
      <c r="O21" s="16"/>
      <c r="P21" s="17"/>
      <c r="Q21" s="16"/>
      <c r="R21" s="16"/>
      <c r="S21" s="219"/>
      <c r="T21" s="16"/>
      <c r="U21" s="9"/>
      <c r="V21" s="16"/>
      <c r="W21" s="46"/>
      <c r="X21" s="5"/>
      <c r="Y21" s="5"/>
      <c r="Z21" s="46"/>
      <c r="AA21" s="5"/>
      <c r="AB21" s="5"/>
      <c r="AC21" s="46"/>
      <c r="AD21" s="5"/>
      <c r="AE21" s="5"/>
      <c r="AF21" s="46"/>
      <c r="AG21" s="16"/>
      <c r="AH21" s="16"/>
      <c r="AI21" s="17"/>
      <c r="AJ21" s="16"/>
      <c r="AK21" s="16"/>
      <c r="AL21" s="219"/>
      <c r="AM21" s="16"/>
      <c r="AN21" s="9"/>
      <c r="AO21" s="16"/>
      <c r="AP21" s="46"/>
      <c r="AQ21" s="5"/>
      <c r="AR21" s="5"/>
      <c r="AS21" s="46"/>
      <c r="AT21" s="5"/>
      <c r="AU21" s="5"/>
      <c r="AV21" s="46"/>
      <c r="AW21" s="5"/>
      <c r="AX21" s="5"/>
      <c r="AY21" s="46"/>
      <c r="AZ21" s="16"/>
      <c r="BA21" s="16"/>
      <c r="BB21" s="17"/>
      <c r="BC21" s="16"/>
      <c r="BD21" s="16"/>
      <c r="BE21" s="219"/>
      <c r="BF21" s="16"/>
      <c r="BG21" s="9"/>
      <c r="BH21" s="16"/>
      <c r="BI21" s="46"/>
      <c r="BJ21" s="5"/>
      <c r="BK21" s="5"/>
      <c r="BL21" s="46"/>
      <c r="BM21" s="5"/>
      <c r="BN21" s="5"/>
      <c r="BO21" s="46"/>
      <c r="BP21" s="5"/>
      <c r="BQ21" s="5"/>
      <c r="BR21" s="46"/>
      <c r="BS21" s="16"/>
      <c r="BT21" s="16"/>
      <c r="BU21" s="17"/>
      <c r="BV21" s="16"/>
      <c r="BW21" s="16"/>
      <c r="BX21" s="219"/>
      <c r="BY21" s="16"/>
      <c r="BZ21" s="70"/>
      <c r="CA21" s="21"/>
      <c r="CB21" s="46"/>
      <c r="CC21" s="76"/>
      <c r="CD21" s="76"/>
      <c r="CE21" s="46"/>
      <c r="CF21" s="76"/>
      <c r="CG21" s="76"/>
      <c r="CH21" s="46"/>
      <c r="CI21" s="76"/>
      <c r="CJ21" s="76"/>
      <c r="CK21" s="46"/>
      <c r="CL21" s="21"/>
      <c r="CM21" s="21"/>
      <c r="CN21" s="17"/>
      <c r="CO21" s="16"/>
      <c r="CP21" s="16"/>
      <c r="CQ21" s="219"/>
      <c r="CR21" s="21"/>
      <c r="CS21" s="70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</row>
    <row r="22" spans="1:124" outlineLevel="1" x14ac:dyDescent="0.15">
      <c r="A22" s="235"/>
      <c r="B22" s="9"/>
      <c r="C22" s="18"/>
      <c r="D22" s="43">
        <v>0</v>
      </c>
      <c r="E22" s="5"/>
      <c r="F22" s="44"/>
      <c r="G22" s="43">
        <v>0</v>
      </c>
      <c r="H22" s="5"/>
      <c r="I22" s="44"/>
      <c r="J22" s="43">
        <v>0</v>
      </c>
      <c r="K22" s="5"/>
      <c r="L22" s="44"/>
      <c r="M22" s="43">
        <v>0</v>
      </c>
      <c r="N22" s="16"/>
      <c r="O22" s="18"/>
      <c r="P22" s="19">
        <f>SUM(D22:M22)</f>
        <v>0</v>
      </c>
      <c r="Q22" s="16"/>
      <c r="R22" s="18"/>
      <c r="S22" s="238"/>
      <c r="T22" s="16"/>
      <c r="U22" s="9"/>
      <c r="V22" s="18"/>
      <c r="W22" s="43">
        <v>0</v>
      </c>
      <c r="X22" s="5"/>
      <c r="Y22" s="44"/>
      <c r="Z22" s="43">
        <v>0</v>
      </c>
      <c r="AA22" s="5"/>
      <c r="AB22" s="44"/>
      <c r="AC22" s="43">
        <v>0</v>
      </c>
      <c r="AD22" s="5"/>
      <c r="AE22" s="44"/>
      <c r="AF22" s="43">
        <v>0</v>
      </c>
      <c r="AG22" s="16"/>
      <c r="AH22" s="18"/>
      <c r="AI22" s="19">
        <f>SUM(W22:AF22)</f>
        <v>0</v>
      </c>
      <c r="AJ22" s="16"/>
      <c r="AK22" s="18"/>
      <c r="AL22" s="238"/>
      <c r="AM22" s="16"/>
      <c r="AN22" s="9"/>
      <c r="AO22" s="18"/>
      <c r="AP22" s="43">
        <v>0</v>
      </c>
      <c r="AQ22" s="5"/>
      <c r="AR22" s="44"/>
      <c r="AS22" s="43">
        <v>0</v>
      </c>
      <c r="AT22" s="5"/>
      <c r="AU22" s="44"/>
      <c r="AV22" s="43">
        <v>0</v>
      </c>
      <c r="AW22" s="5"/>
      <c r="AX22" s="44"/>
      <c r="AY22" s="43">
        <v>0</v>
      </c>
      <c r="AZ22" s="16"/>
      <c r="BA22" s="18"/>
      <c r="BB22" s="19">
        <f>SUM(AP22:AY22)</f>
        <v>0</v>
      </c>
      <c r="BC22" s="16"/>
      <c r="BD22" s="18"/>
      <c r="BE22" s="238"/>
      <c r="BF22" s="16"/>
      <c r="BG22" s="9"/>
      <c r="BH22" s="18"/>
      <c r="BI22" s="43">
        <v>0</v>
      </c>
      <c r="BJ22" s="5"/>
      <c r="BK22" s="44"/>
      <c r="BL22" s="43">
        <v>0</v>
      </c>
      <c r="BM22" s="5"/>
      <c r="BN22" s="44"/>
      <c r="BO22" s="43">
        <v>0</v>
      </c>
      <c r="BP22" s="5"/>
      <c r="BQ22" s="44"/>
      <c r="BR22" s="43">
        <v>0</v>
      </c>
      <c r="BS22" s="16"/>
      <c r="BT22" s="18"/>
      <c r="BU22" s="19">
        <f>SUM(BI22:BR22)</f>
        <v>0</v>
      </c>
      <c r="BV22" s="16"/>
      <c r="BW22" s="18"/>
      <c r="BX22" s="238"/>
      <c r="BY22" s="16"/>
      <c r="BZ22" s="70"/>
      <c r="CA22" s="75"/>
      <c r="CB22" s="79">
        <f>+D22+W22+AP22+BI22</f>
        <v>0</v>
      </c>
      <c r="CC22" s="76"/>
      <c r="CD22" s="77"/>
      <c r="CE22" s="79">
        <f>+G22+Z22+AS22+BL22</f>
        <v>0</v>
      </c>
      <c r="CF22" s="76"/>
      <c r="CG22" s="77"/>
      <c r="CH22" s="79">
        <f>+J22+AC22+AV22+BO22</f>
        <v>0</v>
      </c>
      <c r="CI22" s="76"/>
      <c r="CJ22" s="77"/>
      <c r="CK22" s="79">
        <f>+M22+AF22+AY22+BR22</f>
        <v>0</v>
      </c>
      <c r="CL22" s="21"/>
      <c r="CM22" s="75"/>
      <c r="CN22" s="19">
        <f>SUM(CB22:CK22)</f>
        <v>0</v>
      </c>
      <c r="CO22" s="16"/>
      <c r="CP22" s="18"/>
      <c r="CQ22" s="238">
        <f>+S22+AL22+BE22+BX22</f>
        <v>0</v>
      </c>
      <c r="CR22" s="21"/>
      <c r="CS22" s="70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</row>
    <row r="23" spans="1:124" outlineLevel="1" x14ac:dyDescent="0.15">
      <c r="A23" s="230"/>
      <c r="B23" s="9"/>
      <c r="C23" s="16"/>
      <c r="D23" s="45"/>
      <c r="E23" s="5"/>
      <c r="F23" s="5"/>
      <c r="G23" s="45"/>
      <c r="H23" s="5"/>
      <c r="I23" s="5"/>
      <c r="J23" s="45"/>
      <c r="K23" s="5"/>
      <c r="L23" s="5"/>
      <c r="M23" s="45"/>
      <c r="N23" s="16"/>
      <c r="O23" s="16"/>
      <c r="P23" s="20"/>
      <c r="Q23" s="16"/>
      <c r="R23" s="16"/>
      <c r="S23" s="218"/>
      <c r="T23" s="16"/>
      <c r="U23" s="9"/>
      <c r="V23" s="16"/>
      <c r="W23" s="45"/>
      <c r="X23" s="5"/>
      <c r="Y23" s="5"/>
      <c r="Z23" s="45"/>
      <c r="AA23" s="5"/>
      <c r="AB23" s="5"/>
      <c r="AC23" s="45"/>
      <c r="AD23" s="5"/>
      <c r="AE23" s="5"/>
      <c r="AF23" s="45"/>
      <c r="AG23" s="16"/>
      <c r="AH23" s="16"/>
      <c r="AI23" s="20"/>
      <c r="AJ23" s="16"/>
      <c r="AK23" s="16"/>
      <c r="AL23" s="218"/>
      <c r="AM23" s="16"/>
      <c r="AN23" s="9"/>
      <c r="AO23" s="16"/>
      <c r="AP23" s="45"/>
      <c r="AQ23" s="5"/>
      <c r="AR23" s="5"/>
      <c r="AS23" s="45"/>
      <c r="AT23" s="5"/>
      <c r="AU23" s="5"/>
      <c r="AV23" s="45"/>
      <c r="AW23" s="5"/>
      <c r="AX23" s="5"/>
      <c r="AY23" s="45"/>
      <c r="AZ23" s="16"/>
      <c r="BA23" s="16"/>
      <c r="BB23" s="20"/>
      <c r="BC23" s="16"/>
      <c r="BD23" s="16"/>
      <c r="BE23" s="218"/>
      <c r="BF23" s="16"/>
      <c r="BG23" s="9"/>
      <c r="BH23" s="16"/>
      <c r="BI23" s="45"/>
      <c r="BJ23" s="5"/>
      <c r="BK23" s="5"/>
      <c r="BL23" s="45"/>
      <c r="BM23" s="5"/>
      <c r="BN23" s="5"/>
      <c r="BO23" s="45"/>
      <c r="BP23" s="5"/>
      <c r="BQ23" s="5"/>
      <c r="BR23" s="45"/>
      <c r="BS23" s="16"/>
      <c r="BT23" s="16"/>
      <c r="BU23" s="20"/>
      <c r="BV23" s="16"/>
      <c r="BW23" s="16"/>
      <c r="BX23" s="218"/>
      <c r="BY23" s="16"/>
      <c r="BZ23" s="70"/>
      <c r="CA23" s="21"/>
      <c r="CB23" s="45"/>
      <c r="CC23" s="76"/>
      <c r="CD23" s="76"/>
      <c r="CE23" s="45"/>
      <c r="CF23" s="76"/>
      <c r="CG23" s="76"/>
      <c r="CH23" s="45"/>
      <c r="CI23" s="76"/>
      <c r="CJ23" s="76"/>
      <c r="CK23" s="45"/>
      <c r="CL23" s="21"/>
      <c r="CM23" s="21"/>
      <c r="CN23" s="20"/>
      <c r="CO23" s="16"/>
      <c r="CP23" s="16"/>
      <c r="CQ23" s="218"/>
      <c r="CR23" s="21"/>
      <c r="CS23" s="70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</row>
    <row r="24" spans="1:124" outlineLevel="1" x14ac:dyDescent="0.15">
      <c r="A24" s="235"/>
      <c r="B24" s="9"/>
      <c r="C24" s="18"/>
      <c r="D24" s="43">
        <v>0</v>
      </c>
      <c r="E24" s="5"/>
      <c r="F24" s="44"/>
      <c r="G24" s="43">
        <v>0</v>
      </c>
      <c r="H24" s="5"/>
      <c r="I24" s="44"/>
      <c r="J24" s="43">
        <v>0</v>
      </c>
      <c r="K24" s="5"/>
      <c r="L24" s="44"/>
      <c r="M24" s="43">
        <v>0</v>
      </c>
      <c r="N24" s="16"/>
      <c r="O24" s="18"/>
      <c r="P24" s="19">
        <f>SUM(D24:M24)</f>
        <v>0</v>
      </c>
      <c r="Q24" s="16"/>
      <c r="R24" s="18"/>
      <c r="S24" s="238"/>
      <c r="T24" s="16"/>
      <c r="U24" s="9"/>
      <c r="V24" s="18"/>
      <c r="W24" s="43">
        <v>0</v>
      </c>
      <c r="X24" s="5"/>
      <c r="Y24" s="44"/>
      <c r="Z24" s="43">
        <v>0</v>
      </c>
      <c r="AA24" s="5"/>
      <c r="AB24" s="44"/>
      <c r="AC24" s="43">
        <v>0</v>
      </c>
      <c r="AD24" s="5"/>
      <c r="AE24" s="44"/>
      <c r="AF24" s="43">
        <v>0</v>
      </c>
      <c r="AG24" s="16"/>
      <c r="AH24" s="18"/>
      <c r="AI24" s="19">
        <f>SUM(W24:AF24)</f>
        <v>0</v>
      </c>
      <c r="AJ24" s="16"/>
      <c r="AK24" s="18"/>
      <c r="AL24" s="238"/>
      <c r="AM24" s="16"/>
      <c r="AN24" s="9"/>
      <c r="AO24" s="18"/>
      <c r="AP24" s="43">
        <v>0</v>
      </c>
      <c r="AQ24" s="5"/>
      <c r="AR24" s="44"/>
      <c r="AS24" s="43">
        <v>0</v>
      </c>
      <c r="AT24" s="5"/>
      <c r="AU24" s="44"/>
      <c r="AV24" s="43">
        <v>0</v>
      </c>
      <c r="AW24" s="5"/>
      <c r="AX24" s="44"/>
      <c r="AY24" s="43">
        <v>0</v>
      </c>
      <c r="AZ24" s="16"/>
      <c r="BA24" s="18"/>
      <c r="BB24" s="19">
        <f>SUM(AP24:AY24)</f>
        <v>0</v>
      </c>
      <c r="BC24" s="16"/>
      <c r="BD24" s="18"/>
      <c r="BE24" s="238"/>
      <c r="BF24" s="16"/>
      <c r="BG24" s="9"/>
      <c r="BH24" s="18"/>
      <c r="BI24" s="43">
        <v>0</v>
      </c>
      <c r="BJ24" s="5"/>
      <c r="BK24" s="44"/>
      <c r="BL24" s="43">
        <v>0</v>
      </c>
      <c r="BM24" s="5"/>
      <c r="BN24" s="44"/>
      <c r="BO24" s="43">
        <v>0</v>
      </c>
      <c r="BP24" s="5"/>
      <c r="BQ24" s="44"/>
      <c r="BR24" s="43">
        <v>0</v>
      </c>
      <c r="BS24" s="16"/>
      <c r="BT24" s="18"/>
      <c r="BU24" s="19">
        <f>SUM(BI24:BR24)</f>
        <v>0</v>
      </c>
      <c r="BV24" s="16"/>
      <c r="BW24" s="18"/>
      <c r="BX24" s="238"/>
      <c r="BY24" s="16"/>
      <c r="BZ24" s="70"/>
      <c r="CA24" s="75"/>
      <c r="CB24" s="79">
        <f>+D24+W24+AP24+BI24</f>
        <v>0</v>
      </c>
      <c r="CC24" s="76"/>
      <c r="CD24" s="77"/>
      <c r="CE24" s="79">
        <f>+G24+Z24+AS24+BL24</f>
        <v>0</v>
      </c>
      <c r="CF24" s="76"/>
      <c r="CG24" s="77"/>
      <c r="CH24" s="79">
        <f>+J24+AC24+AV24+BO24</f>
        <v>0</v>
      </c>
      <c r="CI24" s="76"/>
      <c r="CJ24" s="77"/>
      <c r="CK24" s="79">
        <f>+M24+AF24+AY24+BR24</f>
        <v>0</v>
      </c>
      <c r="CL24" s="21"/>
      <c r="CM24" s="75"/>
      <c r="CN24" s="19">
        <f>SUM(CB24:CK24)</f>
        <v>0</v>
      </c>
      <c r="CO24" s="16"/>
      <c r="CP24" s="18"/>
      <c r="CQ24" s="238">
        <f>+S24+AL24+BE24+BX24</f>
        <v>0</v>
      </c>
      <c r="CR24" s="21"/>
      <c r="CS24" s="70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</row>
    <row r="25" spans="1:124" outlineLevel="1" x14ac:dyDescent="0.15">
      <c r="A25" s="234"/>
      <c r="B25" s="9"/>
      <c r="C25" s="16"/>
      <c r="D25" s="46"/>
      <c r="E25" s="5"/>
      <c r="F25" s="5"/>
      <c r="G25" s="46"/>
      <c r="H25" s="5"/>
      <c r="I25" s="5"/>
      <c r="J25" s="46"/>
      <c r="K25" s="5"/>
      <c r="L25" s="5"/>
      <c r="M25" s="46"/>
      <c r="N25" s="16"/>
      <c r="O25" s="16"/>
      <c r="P25" s="17"/>
      <c r="Q25" s="16"/>
      <c r="R25" s="16"/>
      <c r="S25" s="219"/>
      <c r="T25" s="16"/>
      <c r="U25" s="9"/>
      <c r="V25" s="16"/>
      <c r="W25" s="46"/>
      <c r="X25" s="5"/>
      <c r="Y25" s="5"/>
      <c r="Z25" s="46"/>
      <c r="AA25" s="5"/>
      <c r="AB25" s="5"/>
      <c r="AC25" s="46"/>
      <c r="AD25" s="5"/>
      <c r="AE25" s="5"/>
      <c r="AF25" s="46"/>
      <c r="AG25" s="16"/>
      <c r="AH25" s="16"/>
      <c r="AI25" s="17"/>
      <c r="AJ25" s="16"/>
      <c r="AK25" s="16"/>
      <c r="AL25" s="219"/>
      <c r="AM25" s="16"/>
      <c r="AN25" s="9"/>
      <c r="AO25" s="16"/>
      <c r="AP25" s="46"/>
      <c r="AQ25" s="5"/>
      <c r="AR25" s="5"/>
      <c r="AS25" s="46"/>
      <c r="AT25" s="5"/>
      <c r="AU25" s="5"/>
      <c r="AV25" s="46"/>
      <c r="AW25" s="5"/>
      <c r="AX25" s="5"/>
      <c r="AY25" s="46"/>
      <c r="AZ25" s="16"/>
      <c r="BA25" s="16"/>
      <c r="BB25" s="17"/>
      <c r="BC25" s="16"/>
      <c r="BD25" s="16"/>
      <c r="BE25" s="219"/>
      <c r="BF25" s="16"/>
      <c r="BG25" s="9"/>
      <c r="BH25" s="16"/>
      <c r="BI25" s="46"/>
      <c r="BJ25" s="5"/>
      <c r="BK25" s="5"/>
      <c r="BL25" s="46"/>
      <c r="BM25" s="5"/>
      <c r="BN25" s="5"/>
      <c r="BO25" s="46"/>
      <c r="BP25" s="5"/>
      <c r="BQ25" s="5"/>
      <c r="BR25" s="46"/>
      <c r="BS25" s="16"/>
      <c r="BT25" s="16"/>
      <c r="BU25" s="17"/>
      <c r="BV25" s="16"/>
      <c r="BW25" s="16"/>
      <c r="BX25" s="219"/>
      <c r="BY25" s="16"/>
      <c r="BZ25" s="70"/>
      <c r="CA25" s="21"/>
      <c r="CB25" s="46"/>
      <c r="CC25" s="76"/>
      <c r="CD25" s="76"/>
      <c r="CE25" s="46"/>
      <c r="CF25" s="76"/>
      <c r="CG25" s="76"/>
      <c r="CH25" s="46"/>
      <c r="CI25" s="76"/>
      <c r="CJ25" s="76"/>
      <c r="CK25" s="46"/>
      <c r="CL25" s="21"/>
      <c r="CM25" s="21"/>
      <c r="CN25" s="17"/>
      <c r="CO25" s="16"/>
      <c r="CP25" s="16"/>
      <c r="CQ25" s="219"/>
      <c r="CR25" s="21"/>
      <c r="CS25" s="70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</row>
    <row r="26" spans="1:124" outlineLevel="1" x14ac:dyDescent="0.15">
      <c r="A26" s="235"/>
      <c r="B26" s="9"/>
      <c r="C26" s="18"/>
      <c r="D26" s="43">
        <v>0</v>
      </c>
      <c r="E26" s="5"/>
      <c r="F26" s="44"/>
      <c r="G26" s="43">
        <v>0</v>
      </c>
      <c r="H26" s="5"/>
      <c r="I26" s="44"/>
      <c r="J26" s="43">
        <v>0</v>
      </c>
      <c r="K26" s="5"/>
      <c r="L26" s="44"/>
      <c r="M26" s="43">
        <v>0</v>
      </c>
      <c r="N26" s="16"/>
      <c r="O26" s="18"/>
      <c r="P26" s="19">
        <f>SUM(D26:M26)</f>
        <v>0</v>
      </c>
      <c r="Q26" s="16"/>
      <c r="R26" s="18"/>
      <c r="S26" s="238"/>
      <c r="T26" s="16"/>
      <c r="U26" s="9"/>
      <c r="V26" s="18"/>
      <c r="W26" s="43">
        <v>0</v>
      </c>
      <c r="X26" s="5"/>
      <c r="Y26" s="44"/>
      <c r="Z26" s="43">
        <v>0</v>
      </c>
      <c r="AA26" s="5"/>
      <c r="AB26" s="44"/>
      <c r="AC26" s="43">
        <v>0</v>
      </c>
      <c r="AD26" s="5"/>
      <c r="AE26" s="44"/>
      <c r="AF26" s="43">
        <v>0</v>
      </c>
      <c r="AG26" s="16"/>
      <c r="AH26" s="18"/>
      <c r="AI26" s="19">
        <f>SUM(W26:AF26)</f>
        <v>0</v>
      </c>
      <c r="AJ26" s="16"/>
      <c r="AK26" s="18"/>
      <c r="AL26" s="238"/>
      <c r="AM26" s="16"/>
      <c r="AN26" s="9"/>
      <c r="AO26" s="18"/>
      <c r="AP26" s="43">
        <v>0</v>
      </c>
      <c r="AQ26" s="5"/>
      <c r="AR26" s="44"/>
      <c r="AS26" s="43">
        <v>0</v>
      </c>
      <c r="AT26" s="5"/>
      <c r="AU26" s="44"/>
      <c r="AV26" s="43">
        <v>0</v>
      </c>
      <c r="AW26" s="5"/>
      <c r="AX26" s="44"/>
      <c r="AY26" s="43">
        <v>0</v>
      </c>
      <c r="AZ26" s="16"/>
      <c r="BA26" s="18"/>
      <c r="BB26" s="19">
        <f>SUM(AP26:AY26)</f>
        <v>0</v>
      </c>
      <c r="BC26" s="16"/>
      <c r="BD26" s="18"/>
      <c r="BE26" s="238"/>
      <c r="BF26" s="16"/>
      <c r="BG26" s="9"/>
      <c r="BH26" s="18"/>
      <c r="BI26" s="43">
        <v>0</v>
      </c>
      <c r="BJ26" s="5"/>
      <c r="BK26" s="44"/>
      <c r="BL26" s="43">
        <v>0</v>
      </c>
      <c r="BM26" s="5"/>
      <c r="BN26" s="44"/>
      <c r="BO26" s="43">
        <v>0</v>
      </c>
      <c r="BP26" s="5"/>
      <c r="BQ26" s="44"/>
      <c r="BR26" s="43">
        <v>0</v>
      </c>
      <c r="BS26" s="16"/>
      <c r="BT26" s="18"/>
      <c r="BU26" s="19">
        <f>SUM(BI26:BR26)</f>
        <v>0</v>
      </c>
      <c r="BV26" s="16"/>
      <c r="BW26" s="18"/>
      <c r="BX26" s="238"/>
      <c r="BY26" s="16"/>
      <c r="BZ26" s="70"/>
      <c r="CA26" s="75"/>
      <c r="CB26" s="79">
        <f>+D26+W26+AP26+BI26</f>
        <v>0</v>
      </c>
      <c r="CC26" s="76"/>
      <c r="CD26" s="77"/>
      <c r="CE26" s="79">
        <f>+G26+Z26+AS26+BL26</f>
        <v>0</v>
      </c>
      <c r="CF26" s="76"/>
      <c r="CG26" s="77"/>
      <c r="CH26" s="79">
        <f>+J26+AC26+AV26+BO26</f>
        <v>0</v>
      </c>
      <c r="CI26" s="76"/>
      <c r="CJ26" s="77"/>
      <c r="CK26" s="79">
        <f>+M26+AF26+AY26+BR26</f>
        <v>0</v>
      </c>
      <c r="CL26" s="21"/>
      <c r="CM26" s="75"/>
      <c r="CN26" s="19">
        <f>SUM(CB26:CK26)</f>
        <v>0</v>
      </c>
      <c r="CO26" s="16"/>
      <c r="CP26" s="18"/>
      <c r="CQ26" s="238">
        <f>+S26+AL26+BE26+BX26</f>
        <v>0</v>
      </c>
      <c r="CR26" s="21"/>
      <c r="CS26" s="70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</row>
    <row r="27" spans="1:124" outlineLevel="1" x14ac:dyDescent="0.15">
      <c r="A27" s="234"/>
      <c r="B27" s="9"/>
      <c r="C27" s="16"/>
      <c r="D27" s="45"/>
      <c r="E27" s="5"/>
      <c r="F27" s="5"/>
      <c r="G27" s="45"/>
      <c r="H27" s="5"/>
      <c r="I27" s="5"/>
      <c r="J27" s="45"/>
      <c r="K27" s="5"/>
      <c r="L27" s="5"/>
      <c r="M27" s="45"/>
      <c r="N27" s="16"/>
      <c r="O27" s="16"/>
      <c r="P27" s="17"/>
      <c r="Q27" s="16"/>
      <c r="R27" s="16"/>
      <c r="S27" s="218"/>
      <c r="T27" s="16"/>
      <c r="U27" s="9"/>
      <c r="V27" s="16"/>
      <c r="W27" s="45"/>
      <c r="X27" s="5"/>
      <c r="Y27" s="5"/>
      <c r="Z27" s="45"/>
      <c r="AA27" s="5"/>
      <c r="AB27" s="5"/>
      <c r="AC27" s="45"/>
      <c r="AD27" s="5"/>
      <c r="AE27" s="5"/>
      <c r="AF27" s="45"/>
      <c r="AG27" s="16"/>
      <c r="AH27" s="16"/>
      <c r="AI27" s="17"/>
      <c r="AJ27" s="16"/>
      <c r="AK27" s="16"/>
      <c r="AL27" s="218"/>
      <c r="AM27" s="16"/>
      <c r="AN27" s="9"/>
      <c r="AO27" s="16"/>
      <c r="AP27" s="45"/>
      <c r="AQ27" s="5"/>
      <c r="AR27" s="5"/>
      <c r="AS27" s="45"/>
      <c r="AT27" s="5"/>
      <c r="AU27" s="5"/>
      <c r="AV27" s="45"/>
      <c r="AW27" s="5"/>
      <c r="AX27" s="5"/>
      <c r="AY27" s="45"/>
      <c r="AZ27" s="16"/>
      <c r="BA27" s="16"/>
      <c r="BB27" s="17"/>
      <c r="BC27" s="16"/>
      <c r="BD27" s="16"/>
      <c r="BE27" s="218"/>
      <c r="BF27" s="16"/>
      <c r="BG27" s="9"/>
      <c r="BH27" s="16"/>
      <c r="BI27" s="45"/>
      <c r="BJ27" s="5"/>
      <c r="BK27" s="5"/>
      <c r="BL27" s="45"/>
      <c r="BM27" s="5"/>
      <c r="BN27" s="5"/>
      <c r="BO27" s="45"/>
      <c r="BP27" s="5"/>
      <c r="BQ27" s="5"/>
      <c r="BR27" s="45"/>
      <c r="BS27" s="16"/>
      <c r="BT27" s="16"/>
      <c r="BU27" s="17"/>
      <c r="BV27" s="16"/>
      <c r="BW27" s="16"/>
      <c r="BX27" s="218"/>
      <c r="BY27" s="16"/>
      <c r="BZ27" s="70"/>
      <c r="CA27" s="21"/>
      <c r="CB27" s="45"/>
      <c r="CC27" s="76"/>
      <c r="CD27" s="76"/>
      <c r="CE27" s="45"/>
      <c r="CF27" s="76"/>
      <c r="CG27" s="76"/>
      <c r="CH27" s="45"/>
      <c r="CI27" s="76"/>
      <c r="CJ27" s="76"/>
      <c r="CK27" s="45"/>
      <c r="CL27" s="21"/>
      <c r="CM27" s="21"/>
      <c r="CN27" s="17"/>
      <c r="CO27" s="16"/>
      <c r="CP27" s="16"/>
      <c r="CQ27" s="218"/>
      <c r="CR27" s="21"/>
      <c r="CS27" s="70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</row>
    <row r="28" spans="1:124" outlineLevel="1" x14ac:dyDescent="0.15">
      <c r="A28" s="235"/>
      <c r="B28" s="9"/>
      <c r="C28" s="18"/>
      <c r="D28" s="43">
        <v>0</v>
      </c>
      <c r="E28" s="5"/>
      <c r="F28" s="44"/>
      <c r="G28" s="43">
        <v>0</v>
      </c>
      <c r="H28" s="5"/>
      <c r="I28" s="44"/>
      <c r="J28" s="43">
        <v>0</v>
      </c>
      <c r="K28" s="5"/>
      <c r="L28" s="44"/>
      <c r="M28" s="43">
        <v>0</v>
      </c>
      <c r="N28" s="16"/>
      <c r="O28" s="18"/>
      <c r="P28" s="19">
        <f>SUM(D28:M28)</f>
        <v>0</v>
      </c>
      <c r="Q28" s="16"/>
      <c r="R28" s="18"/>
      <c r="S28" s="238"/>
      <c r="T28" s="16"/>
      <c r="U28" s="9"/>
      <c r="V28" s="18"/>
      <c r="W28" s="43">
        <v>0</v>
      </c>
      <c r="X28" s="5"/>
      <c r="Y28" s="44"/>
      <c r="Z28" s="43">
        <v>0</v>
      </c>
      <c r="AA28" s="5"/>
      <c r="AB28" s="44"/>
      <c r="AC28" s="43">
        <v>0</v>
      </c>
      <c r="AD28" s="5"/>
      <c r="AE28" s="44"/>
      <c r="AF28" s="43">
        <v>0</v>
      </c>
      <c r="AG28" s="16"/>
      <c r="AH28" s="18"/>
      <c r="AI28" s="19">
        <f>SUM(W28:AF28)</f>
        <v>0</v>
      </c>
      <c r="AJ28" s="16"/>
      <c r="AK28" s="18"/>
      <c r="AL28" s="238"/>
      <c r="AM28" s="16"/>
      <c r="AN28" s="9"/>
      <c r="AO28" s="18"/>
      <c r="AP28" s="43">
        <v>0</v>
      </c>
      <c r="AQ28" s="5"/>
      <c r="AR28" s="44"/>
      <c r="AS28" s="43">
        <v>0</v>
      </c>
      <c r="AT28" s="5"/>
      <c r="AU28" s="44"/>
      <c r="AV28" s="43">
        <v>0</v>
      </c>
      <c r="AW28" s="5"/>
      <c r="AX28" s="44"/>
      <c r="AY28" s="43">
        <v>0</v>
      </c>
      <c r="AZ28" s="16"/>
      <c r="BA28" s="18"/>
      <c r="BB28" s="19">
        <f>SUM(AP28:AY28)</f>
        <v>0</v>
      </c>
      <c r="BC28" s="16"/>
      <c r="BD28" s="18"/>
      <c r="BE28" s="238"/>
      <c r="BF28" s="16"/>
      <c r="BG28" s="9"/>
      <c r="BH28" s="18"/>
      <c r="BI28" s="43">
        <v>0</v>
      </c>
      <c r="BJ28" s="5"/>
      <c r="BK28" s="44"/>
      <c r="BL28" s="43">
        <v>0</v>
      </c>
      <c r="BM28" s="5"/>
      <c r="BN28" s="44"/>
      <c r="BO28" s="43">
        <v>0</v>
      </c>
      <c r="BP28" s="5"/>
      <c r="BQ28" s="44"/>
      <c r="BR28" s="43">
        <v>0</v>
      </c>
      <c r="BS28" s="16"/>
      <c r="BT28" s="18"/>
      <c r="BU28" s="19">
        <f>SUM(BI28:BR28)</f>
        <v>0</v>
      </c>
      <c r="BV28" s="16"/>
      <c r="BW28" s="18"/>
      <c r="BX28" s="238"/>
      <c r="BY28" s="16"/>
      <c r="BZ28" s="70"/>
      <c r="CA28" s="75"/>
      <c r="CB28" s="79">
        <f>+D28+W28+AP28+BI28</f>
        <v>0</v>
      </c>
      <c r="CC28" s="76"/>
      <c r="CD28" s="77"/>
      <c r="CE28" s="79">
        <f>+G28+Z28+AS28+BL28</f>
        <v>0</v>
      </c>
      <c r="CF28" s="76"/>
      <c r="CG28" s="77"/>
      <c r="CH28" s="79">
        <f>+J28+AC28+AV28+BO28</f>
        <v>0</v>
      </c>
      <c r="CI28" s="76"/>
      <c r="CJ28" s="77"/>
      <c r="CK28" s="79">
        <f>+M28+AF28+AY28+BR28</f>
        <v>0</v>
      </c>
      <c r="CL28" s="21"/>
      <c r="CM28" s="75"/>
      <c r="CN28" s="19">
        <f>SUM(CB28:CK28)</f>
        <v>0</v>
      </c>
      <c r="CO28" s="16"/>
      <c r="CP28" s="18"/>
      <c r="CQ28" s="238">
        <f>+S28+AL28+BE28+BX28</f>
        <v>0</v>
      </c>
      <c r="CR28" s="21"/>
      <c r="CS28" s="70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</row>
    <row r="29" spans="1:124" outlineLevel="1" x14ac:dyDescent="0.15">
      <c r="A29" s="230"/>
      <c r="B29" s="9"/>
      <c r="C29" s="16"/>
      <c r="D29" s="45"/>
      <c r="E29" s="5"/>
      <c r="F29" s="5"/>
      <c r="G29" s="45"/>
      <c r="H29" s="5"/>
      <c r="I29" s="5"/>
      <c r="J29" s="45"/>
      <c r="K29" s="5"/>
      <c r="L29" s="5"/>
      <c r="M29" s="45"/>
      <c r="N29" s="16"/>
      <c r="O29" s="16"/>
      <c r="P29" s="20"/>
      <c r="Q29" s="16"/>
      <c r="R29" s="16"/>
      <c r="S29" s="218"/>
      <c r="T29" s="16"/>
      <c r="U29" s="9"/>
      <c r="V29" s="16"/>
      <c r="W29" s="45"/>
      <c r="X29" s="5"/>
      <c r="Y29" s="5"/>
      <c r="Z29" s="45"/>
      <c r="AA29" s="5"/>
      <c r="AB29" s="5"/>
      <c r="AC29" s="45"/>
      <c r="AD29" s="5"/>
      <c r="AE29" s="5"/>
      <c r="AF29" s="45"/>
      <c r="AG29" s="16"/>
      <c r="AH29" s="16"/>
      <c r="AI29" s="20"/>
      <c r="AJ29" s="16"/>
      <c r="AK29" s="16"/>
      <c r="AL29" s="218"/>
      <c r="AM29" s="16"/>
      <c r="AN29" s="9"/>
      <c r="AO29" s="16"/>
      <c r="AP29" s="45"/>
      <c r="AQ29" s="5"/>
      <c r="AR29" s="5"/>
      <c r="AS29" s="45"/>
      <c r="AT29" s="5"/>
      <c r="AU29" s="5"/>
      <c r="AV29" s="45"/>
      <c r="AW29" s="5"/>
      <c r="AX29" s="5"/>
      <c r="AY29" s="45"/>
      <c r="AZ29" s="16"/>
      <c r="BA29" s="16"/>
      <c r="BB29" s="20"/>
      <c r="BC29" s="16"/>
      <c r="BD29" s="16"/>
      <c r="BE29" s="218"/>
      <c r="BF29" s="16"/>
      <c r="BG29" s="9"/>
      <c r="BH29" s="16"/>
      <c r="BI29" s="45"/>
      <c r="BJ29" s="5"/>
      <c r="BK29" s="5"/>
      <c r="BL29" s="45"/>
      <c r="BM29" s="5"/>
      <c r="BN29" s="5"/>
      <c r="BO29" s="45"/>
      <c r="BP29" s="5"/>
      <c r="BQ29" s="5"/>
      <c r="BR29" s="45"/>
      <c r="BS29" s="16"/>
      <c r="BT29" s="16"/>
      <c r="BU29" s="20"/>
      <c r="BV29" s="16"/>
      <c r="BW29" s="16"/>
      <c r="BX29" s="218"/>
      <c r="BY29" s="16"/>
      <c r="BZ29" s="70"/>
      <c r="CA29" s="21"/>
      <c r="CB29" s="45"/>
      <c r="CC29" s="76"/>
      <c r="CD29" s="76"/>
      <c r="CE29" s="45"/>
      <c r="CF29" s="76"/>
      <c r="CG29" s="76"/>
      <c r="CH29" s="45"/>
      <c r="CI29" s="76"/>
      <c r="CJ29" s="76"/>
      <c r="CK29" s="45"/>
      <c r="CL29" s="21"/>
      <c r="CM29" s="21"/>
      <c r="CN29" s="20"/>
      <c r="CO29" s="16"/>
      <c r="CP29" s="16"/>
      <c r="CQ29" s="218"/>
      <c r="CR29" s="21"/>
      <c r="CS29" s="70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</row>
    <row r="30" spans="1:124" outlineLevel="1" x14ac:dyDescent="0.15">
      <c r="A30" s="235"/>
      <c r="B30" s="9"/>
      <c r="C30" s="18"/>
      <c r="D30" s="43">
        <v>0</v>
      </c>
      <c r="E30" s="5"/>
      <c r="F30" s="44"/>
      <c r="G30" s="43">
        <v>0</v>
      </c>
      <c r="H30" s="5"/>
      <c r="I30" s="44"/>
      <c r="J30" s="43">
        <v>0</v>
      </c>
      <c r="K30" s="5"/>
      <c r="L30" s="44"/>
      <c r="M30" s="43">
        <v>0</v>
      </c>
      <c r="N30" s="16"/>
      <c r="O30" s="18"/>
      <c r="P30" s="19">
        <f>SUM(D30:M30)</f>
        <v>0</v>
      </c>
      <c r="Q30" s="16"/>
      <c r="R30" s="18"/>
      <c r="S30" s="238"/>
      <c r="T30" s="16"/>
      <c r="U30" s="9"/>
      <c r="V30" s="18"/>
      <c r="W30" s="43">
        <v>0</v>
      </c>
      <c r="X30" s="5"/>
      <c r="Y30" s="44"/>
      <c r="Z30" s="43">
        <v>0</v>
      </c>
      <c r="AA30" s="5"/>
      <c r="AB30" s="44"/>
      <c r="AC30" s="43">
        <v>0</v>
      </c>
      <c r="AD30" s="5"/>
      <c r="AE30" s="44"/>
      <c r="AF30" s="43">
        <v>0</v>
      </c>
      <c r="AG30" s="16"/>
      <c r="AH30" s="18"/>
      <c r="AI30" s="19">
        <f>SUM(W30:AF30)</f>
        <v>0</v>
      </c>
      <c r="AJ30" s="16"/>
      <c r="AK30" s="18"/>
      <c r="AL30" s="238"/>
      <c r="AM30" s="16"/>
      <c r="AN30" s="9"/>
      <c r="AO30" s="18"/>
      <c r="AP30" s="43">
        <v>0</v>
      </c>
      <c r="AQ30" s="5"/>
      <c r="AR30" s="44"/>
      <c r="AS30" s="43">
        <v>0</v>
      </c>
      <c r="AT30" s="5"/>
      <c r="AU30" s="44"/>
      <c r="AV30" s="43">
        <v>0</v>
      </c>
      <c r="AW30" s="5"/>
      <c r="AX30" s="44"/>
      <c r="AY30" s="43">
        <v>0</v>
      </c>
      <c r="AZ30" s="16"/>
      <c r="BA30" s="18"/>
      <c r="BB30" s="19">
        <f>SUM(AP30:AY30)</f>
        <v>0</v>
      </c>
      <c r="BC30" s="16"/>
      <c r="BD30" s="18"/>
      <c r="BE30" s="238"/>
      <c r="BF30" s="16"/>
      <c r="BG30" s="9"/>
      <c r="BH30" s="18"/>
      <c r="BI30" s="43">
        <v>0</v>
      </c>
      <c r="BJ30" s="5"/>
      <c r="BK30" s="44"/>
      <c r="BL30" s="43">
        <v>0</v>
      </c>
      <c r="BM30" s="5"/>
      <c r="BN30" s="44"/>
      <c r="BO30" s="43">
        <v>0</v>
      </c>
      <c r="BP30" s="5"/>
      <c r="BQ30" s="44"/>
      <c r="BR30" s="43">
        <v>0</v>
      </c>
      <c r="BS30" s="16"/>
      <c r="BT30" s="18"/>
      <c r="BU30" s="19">
        <f>SUM(BI30:BR30)</f>
        <v>0</v>
      </c>
      <c r="BV30" s="16"/>
      <c r="BW30" s="18"/>
      <c r="BX30" s="238"/>
      <c r="BY30" s="16"/>
      <c r="BZ30" s="70"/>
      <c r="CA30" s="75"/>
      <c r="CB30" s="79">
        <f>+D30+W30+AP30+BI30</f>
        <v>0</v>
      </c>
      <c r="CC30" s="76"/>
      <c r="CD30" s="77"/>
      <c r="CE30" s="79">
        <f>+G30+Z30+AS30+BL30</f>
        <v>0</v>
      </c>
      <c r="CF30" s="76"/>
      <c r="CG30" s="77"/>
      <c r="CH30" s="79">
        <f>+J30+AC30+AV30+BO30</f>
        <v>0</v>
      </c>
      <c r="CI30" s="76"/>
      <c r="CJ30" s="77"/>
      <c r="CK30" s="79">
        <f>+M30+AF30+AY30+BR30</f>
        <v>0</v>
      </c>
      <c r="CL30" s="21"/>
      <c r="CM30" s="75"/>
      <c r="CN30" s="19">
        <f>SUM(CB30:CK30)</f>
        <v>0</v>
      </c>
      <c r="CO30" s="16"/>
      <c r="CP30" s="18"/>
      <c r="CQ30" s="238">
        <f>+S30+AL30+BE30+BX30</f>
        <v>0</v>
      </c>
      <c r="CR30" s="21"/>
      <c r="CS30" s="70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</row>
    <row r="31" spans="1:124" outlineLevel="1" x14ac:dyDescent="0.15">
      <c r="A31" s="234"/>
      <c r="B31" s="9"/>
      <c r="C31" s="16"/>
      <c r="D31" s="46"/>
      <c r="E31" s="5"/>
      <c r="F31" s="5"/>
      <c r="G31" s="46"/>
      <c r="H31" s="5"/>
      <c r="I31" s="5"/>
      <c r="J31" s="46"/>
      <c r="K31" s="5"/>
      <c r="L31" s="5"/>
      <c r="M31" s="46"/>
      <c r="N31" s="16"/>
      <c r="O31" s="16"/>
      <c r="P31" s="17"/>
      <c r="Q31" s="16"/>
      <c r="R31" s="16"/>
      <c r="S31" s="218"/>
      <c r="T31" s="16"/>
      <c r="U31" s="9"/>
      <c r="V31" s="16"/>
      <c r="W31" s="46"/>
      <c r="X31" s="5"/>
      <c r="Y31" s="5"/>
      <c r="Z31" s="46"/>
      <c r="AA31" s="5"/>
      <c r="AB31" s="5"/>
      <c r="AC31" s="46"/>
      <c r="AD31" s="5"/>
      <c r="AE31" s="5"/>
      <c r="AF31" s="46"/>
      <c r="AG31" s="16"/>
      <c r="AH31" s="16"/>
      <c r="AI31" s="17"/>
      <c r="AJ31" s="16"/>
      <c r="AK31" s="16"/>
      <c r="AL31" s="218"/>
      <c r="AM31" s="16"/>
      <c r="AN31" s="9"/>
      <c r="AO31" s="16"/>
      <c r="AP31" s="46"/>
      <c r="AQ31" s="5"/>
      <c r="AR31" s="5"/>
      <c r="AS31" s="46"/>
      <c r="AT31" s="5"/>
      <c r="AU31" s="5"/>
      <c r="AV31" s="46"/>
      <c r="AW31" s="5"/>
      <c r="AX31" s="5"/>
      <c r="AY31" s="46"/>
      <c r="AZ31" s="16"/>
      <c r="BA31" s="16"/>
      <c r="BB31" s="17"/>
      <c r="BC31" s="16"/>
      <c r="BD31" s="16"/>
      <c r="BE31" s="218"/>
      <c r="BF31" s="16"/>
      <c r="BG31" s="9"/>
      <c r="BH31" s="16"/>
      <c r="BI31" s="46"/>
      <c r="BJ31" s="5"/>
      <c r="BK31" s="5"/>
      <c r="BL31" s="46"/>
      <c r="BM31" s="5"/>
      <c r="BN31" s="5"/>
      <c r="BO31" s="46"/>
      <c r="BP31" s="5"/>
      <c r="BQ31" s="5"/>
      <c r="BR31" s="46"/>
      <c r="BS31" s="16"/>
      <c r="BT31" s="16"/>
      <c r="BU31" s="17"/>
      <c r="BV31" s="16"/>
      <c r="BW31" s="16"/>
      <c r="BX31" s="218"/>
      <c r="BY31" s="16"/>
      <c r="BZ31" s="70"/>
      <c r="CA31" s="21"/>
      <c r="CB31" s="46"/>
      <c r="CC31" s="76"/>
      <c r="CD31" s="76"/>
      <c r="CE31" s="46"/>
      <c r="CF31" s="76"/>
      <c r="CG31" s="76"/>
      <c r="CH31" s="46"/>
      <c r="CI31" s="76"/>
      <c r="CJ31" s="76"/>
      <c r="CK31" s="46"/>
      <c r="CL31" s="21"/>
      <c r="CM31" s="21"/>
      <c r="CN31" s="17"/>
      <c r="CO31" s="16"/>
      <c r="CP31" s="16"/>
      <c r="CQ31" s="218"/>
      <c r="CR31" s="21"/>
      <c r="CS31" s="70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</row>
    <row r="32" spans="1:124" outlineLevel="1" x14ac:dyDescent="0.15">
      <c r="A32" s="235"/>
      <c r="B32" s="9"/>
      <c r="C32" s="18"/>
      <c r="D32" s="43">
        <v>0</v>
      </c>
      <c r="E32" s="5"/>
      <c r="F32" s="44"/>
      <c r="G32" s="43">
        <v>0</v>
      </c>
      <c r="H32" s="5"/>
      <c r="I32" s="44"/>
      <c r="J32" s="43">
        <v>0</v>
      </c>
      <c r="K32" s="5"/>
      <c r="L32" s="44"/>
      <c r="M32" s="43">
        <v>0</v>
      </c>
      <c r="N32" s="16"/>
      <c r="O32" s="18"/>
      <c r="P32" s="19">
        <f>SUM(D32:M32)</f>
        <v>0</v>
      </c>
      <c r="Q32" s="16"/>
      <c r="R32" s="18"/>
      <c r="S32" s="238"/>
      <c r="T32" s="16"/>
      <c r="U32" s="9"/>
      <c r="V32" s="18"/>
      <c r="W32" s="43">
        <v>0</v>
      </c>
      <c r="X32" s="5"/>
      <c r="Y32" s="44"/>
      <c r="Z32" s="43">
        <v>0</v>
      </c>
      <c r="AA32" s="5"/>
      <c r="AB32" s="44"/>
      <c r="AC32" s="43">
        <v>0</v>
      </c>
      <c r="AD32" s="5"/>
      <c r="AE32" s="44"/>
      <c r="AF32" s="43">
        <v>0</v>
      </c>
      <c r="AG32" s="16"/>
      <c r="AH32" s="18"/>
      <c r="AI32" s="19">
        <f>SUM(W32:AF32)</f>
        <v>0</v>
      </c>
      <c r="AJ32" s="16"/>
      <c r="AK32" s="18"/>
      <c r="AL32" s="238"/>
      <c r="AM32" s="16"/>
      <c r="AN32" s="9"/>
      <c r="AO32" s="18"/>
      <c r="AP32" s="43">
        <v>0</v>
      </c>
      <c r="AQ32" s="5"/>
      <c r="AR32" s="44"/>
      <c r="AS32" s="43">
        <v>0</v>
      </c>
      <c r="AT32" s="5"/>
      <c r="AU32" s="44"/>
      <c r="AV32" s="43">
        <v>0</v>
      </c>
      <c r="AW32" s="5"/>
      <c r="AX32" s="44"/>
      <c r="AY32" s="43">
        <v>0</v>
      </c>
      <c r="AZ32" s="16"/>
      <c r="BA32" s="18"/>
      <c r="BB32" s="19">
        <f>SUM(AP32:AY32)</f>
        <v>0</v>
      </c>
      <c r="BC32" s="16"/>
      <c r="BD32" s="18"/>
      <c r="BE32" s="238"/>
      <c r="BF32" s="16"/>
      <c r="BG32" s="9"/>
      <c r="BH32" s="18"/>
      <c r="BI32" s="43">
        <v>0</v>
      </c>
      <c r="BJ32" s="5"/>
      <c r="BK32" s="44"/>
      <c r="BL32" s="43">
        <v>0</v>
      </c>
      <c r="BM32" s="5"/>
      <c r="BN32" s="44"/>
      <c r="BO32" s="43">
        <v>0</v>
      </c>
      <c r="BP32" s="5"/>
      <c r="BQ32" s="44"/>
      <c r="BR32" s="43">
        <v>0</v>
      </c>
      <c r="BS32" s="16"/>
      <c r="BT32" s="18"/>
      <c r="BU32" s="19">
        <f>SUM(BI32:BR32)</f>
        <v>0</v>
      </c>
      <c r="BV32" s="16"/>
      <c r="BW32" s="18"/>
      <c r="BX32" s="238"/>
      <c r="BY32" s="16"/>
      <c r="BZ32" s="70"/>
      <c r="CA32" s="75"/>
      <c r="CB32" s="79">
        <f>+D32+W32+AP32+BI32</f>
        <v>0</v>
      </c>
      <c r="CC32" s="76"/>
      <c r="CD32" s="77"/>
      <c r="CE32" s="79">
        <f>+G32+Z32+AS32+BL32</f>
        <v>0</v>
      </c>
      <c r="CF32" s="76"/>
      <c r="CG32" s="77"/>
      <c r="CH32" s="79">
        <f>+J32+AC32+AV32+BO32</f>
        <v>0</v>
      </c>
      <c r="CI32" s="76"/>
      <c r="CJ32" s="77"/>
      <c r="CK32" s="79">
        <f>+M32+AF32+AY32+BR32</f>
        <v>0</v>
      </c>
      <c r="CL32" s="21"/>
      <c r="CM32" s="75"/>
      <c r="CN32" s="19">
        <f>SUM(CB32:CK32)</f>
        <v>0</v>
      </c>
      <c r="CO32" s="16"/>
      <c r="CP32" s="18"/>
      <c r="CQ32" s="238">
        <f>+S32+AL32+BE32+BX32</f>
        <v>0</v>
      </c>
      <c r="CR32" s="21"/>
      <c r="CS32" s="70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</row>
    <row r="33" spans="1:124" x14ac:dyDescent="0.15">
      <c r="A33" s="230"/>
      <c r="B33" s="9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21"/>
      <c r="Q33" s="16"/>
      <c r="R33" s="16"/>
      <c r="S33" s="21"/>
      <c r="T33" s="16"/>
      <c r="U33" s="9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21"/>
      <c r="AJ33" s="16"/>
      <c r="AK33" s="16"/>
      <c r="AL33" s="21"/>
      <c r="AM33" s="16"/>
      <c r="AN33" s="9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21"/>
      <c r="BC33" s="16"/>
      <c r="BD33" s="16"/>
      <c r="BE33" s="21"/>
      <c r="BF33" s="16"/>
      <c r="BG33" s="9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21"/>
      <c r="BV33" s="16"/>
      <c r="BW33" s="16"/>
      <c r="BX33" s="21"/>
      <c r="BY33" s="16"/>
      <c r="BZ33" s="70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16"/>
      <c r="CP33" s="16"/>
      <c r="CQ33" s="21"/>
      <c r="CR33" s="21"/>
      <c r="CS33" s="70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</row>
    <row r="34" spans="1:124" x14ac:dyDescent="0.15">
      <c r="A34" s="230"/>
      <c r="B34" s="9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9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9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9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70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16"/>
      <c r="CP34" s="16"/>
      <c r="CQ34" s="16"/>
      <c r="CR34" s="21"/>
      <c r="CS34" s="70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</row>
    <row r="35" spans="1:124" ht="16" x14ac:dyDescent="0.2">
      <c r="A35" s="233" t="s">
        <v>40</v>
      </c>
      <c r="B35" s="9"/>
      <c r="C35" s="10"/>
      <c r="D35" s="14">
        <f>SUM(D37:D56)</f>
        <v>1408000</v>
      </c>
      <c r="E35" s="11"/>
      <c r="F35" s="12"/>
      <c r="G35" s="14">
        <f>SUM(G37:G56)</f>
        <v>70000</v>
      </c>
      <c r="H35" s="11"/>
      <c r="I35" s="12"/>
      <c r="J35" s="14">
        <f>SUM(J37:J56)</f>
        <v>154000</v>
      </c>
      <c r="K35" s="11"/>
      <c r="L35" s="12"/>
      <c r="M35" s="14">
        <f>SUM(M37:M56)</f>
        <v>0</v>
      </c>
      <c r="N35" s="16"/>
      <c r="O35" s="12"/>
      <c r="P35" s="15">
        <f>SUM(P37:P56)</f>
        <v>1632000</v>
      </c>
      <c r="Q35" s="16"/>
      <c r="R35" s="12"/>
      <c r="S35" s="211">
        <f>SUM(S37:S56)</f>
        <v>0</v>
      </c>
      <c r="T35" s="16"/>
      <c r="U35" s="9"/>
      <c r="V35" s="10"/>
      <c r="W35" s="14">
        <f>SUM(W37:W56)</f>
        <v>0</v>
      </c>
      <c r="X35" s="11"/>
      <c r="Y35" s="12"/>
      <c r="Z35" s="14">
        <f>SUM(Z37:Z56)</f>
        <v>0</v>
      </c>
      <c r="AA35" s="11"/>
      <c r="AB35" s="12"/>
      <c r="AC35" s="14">
        <f>SUM(AC37:AC56)</f>
        <v>0</v>
      </c>
      <c r="AD35" s="11"/>
      <c r="AE35" s="12"/>
      <c r="AF35" s="14">
        <f>SUM(AF37:AF56)</f>
        <v>0</v>
      </c>
      <c r="AG35" s="16"/>
      <c r="AH35" s="12"/>
      <c r="AI35" s="15">
        <f>SUM(AI37:AI56)</f>
        <v>0</v>
      </c>
      <c r="AJ35" s="16"/>
      <c r="AK35" s="12"/>
      <c r="AL35" s="211">
        <f>SUM(AL37:AL56)</f>
        <v>0</v>
      </c>
      <c r="AM35" s="16"/>
      <c r="AN35" s="9"/>
      <c r="AO35" s="10"/>
      <c r="AP35" s="14">
        <f>SUM(AP37:AP56)</f>
        <v>0</v>
      </c>
      <c r="AQ35" s="11"/>
      <c r="AR35" s="12"/>
      <c r="AS35" s="14">
        <f>SUM(AS37:AS56)</f>
        <v>0</v>
      </c>
      <c r="AT35" s="11"/>
      <c r="AU35" s="12"/>
      <c r="AV35" s="14">
        <f>SUM(AV37:AV56)</f>
        <v>0</v>
      </c>
      <c r="AW35" s="11"/>
      <c r="AX35" s="12"/>
      <c r="AY35" s="14">
        <f>SUM(AY37:AY56)</f>
        <v>0</v>
      </c>
      <c r="AZ35" s="16"/>
      <c r="BA35" s="12"/>
      <c r="BB35" s="15">
        <f>SUM(BB37:BB56)</f>
        <v>0</v>
      </c>
      <c r="BC35" s="16"/>
      <c r="BD35" s="12"/>
      <c r="BE35" s="211">
        <f>SUM(BE37:BE56)</f>
        <v>0</v>
      </c>
      <c r="BF35" s="16"/>
      <c r="BG35" s="9"/>
      <c r="BH35" s="10"/>
      <c r="BI35" s="14">
        <f>SUM(BI37:BI56)</f>
        <v>0</v>
      </c>
      <c r="BJ35" s="11"/>
      <c r="BK35" s="12"/>
      <c r="BL35" s="14">
        <f>SUM(BL37:BL56)</f>
        <v>0</v>
      </c>
      <c r="BM35" s="11"/>
      <c r="BN35" s="12"/>
      <c r="BO35" s="14">
        <f>SUM(BO37:BO56)</f>
        <v>0</v>
      </c>
      <c r="BP35" s="11"/>
      <c r="BQ35" s="12"/>
      <c r="BR35" s="14">
        <f>SUM(BR37:BR56)</f>
        <v>0</v>
      </c>
      <c r="BS35" s="16"/>
      <c r="BT35" s="12"/>
      <c r="BU35" s="15">
        <f>SUM(BU37:BU56)</f>
        <v>0</v>
      </c>
      <c r="BV35" s="16"/>
      <c r="BW35" s="12"/>
      <c r="BX35" s="211">
        <f>SUM(BX37:BX56)</f>
        <v>0</v>
      </c>
      <c r="BY35" s="16"/>
      <c r="BZ35" s="70"/>
      <c r="CA35" s="71"/>
      <c r="CB35" s="72">
        <f>SUM(CB37:CB56)</f>
        <v>1408000</v>
      </c>
      <c r="CC35" s="73"/>
      <c r="CD35" s="74"/>
      <c r="CE35" s="72">
        <f>SUM(CE37:CE56)</f>
        <v>70000</v>
      </c>
      <c r="CF35" s="73"/>
      <c r="CG35" s="74"/>
      <c r="CH35" s="72">
        <f>SUM(CH37:CH56)</f>
        <v>154000</v>
      </c>
      <c r="CI35" s="73"/>
      <c r="CJ35" s="74"/>
      <c r="CK35" s="72">
        <f>SUM(CK37:CK56)</f>
        <v>0</v>
      </c>
      <c r="CL35" s="21"/>
      <c r="CM35" s="74"/>
      <c r="CN35" s="15">
        <f>SUM(CN37:CN56)</f>
        <v>1632000</v>
      </c>
      <c r="CO35" s="16"/>
      <c r="CP35" s="12"/>
      <c r="CQ35" s="211">
        <f>SUM(CQ37:CQ56)</f>
        <v>0</v>
      </c>
      <c r="CR35" s="21"/>
      <c r="CS35" s="70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</row>
    <row r="36" spans="1:124" outlineLevel="1" x14ac:dyDescent="0.15">
      <c r="A36" s="234"/>
      <c r="B36" s="9"/>
      <c r="C36" s="16"/>
      <c r="D36" s="17"/>
      <c r="E36" s="16"/>
      <c r="F36" s="16"/>
      <c r="G36" s="17"/>
      <c r="H36" s="16"/>
      <c r="I36" s="16"/>
      <c r="J36" s="17"/>
      <c r="K36" s="16"/>
      <c r="L36" s="16"/>
      <c r="M36" s="17"/>
      <c r="N36" s="16"/>
      <c r="O36" s="16"/>
      <c r="P36" s="17"/>
      <c r="Q36" s="16"/>
      <c r="R36" s="16"/>
      <c r="S36" s="17"/>
      <c r="T36" s="16"/>
      <c r="U36" s="9"/>
      <c r="V36" s="16"/>
      <c r="W36" s="17"/>
      <c r="X36" s="16"/>
      <c r="Y36" s="16"/>
      <c r="Z36" s="17"/>
      <c r="AA36" s="16"/>
      <c r="AB36" s="16"/>
      <c r="AC36" s="17"/>
      <c r="AD36" s="16"/>
      <c r="AE36" s="16"/>
      <c r="AF36" s="17"/>
      <c r="AG36" s="16"/>
      <c r="AH36" s="16"/>
      <c r="AI36" s="17"/>
      <c r="AJ36" s="16"/>
      <c r="AK36" s="16"/>
      <c r="AL36" s="17"/>
      <c r="AM36" s="16"/>
      <c r="AN36" s="9"/>
      <c r="AO36" s="16"/>
      <c r="AP36" s="17"/>
      <c r="AQ36" s="16"/>
      <c r="AR36" s="16"/>
      <c r="AS36" s="17"/>
      <c r="AT36" s="16"/>
      <c r="AU36" s="16"/>
      <c r="AV36" s="17"/>
      <c r="AW36" s="16"/>
      <c r="AX36" s="16"/>
      <c r="AY36" s="17"/>
      <c r="AZ36" s="16"/>
      <c r="BA36" s="16"/>
      <c r="BB36" s="17"/>
      <c r="BC36" s="16"/>
      <c r="BD36" s="16"/>
      <c r="BE36" s="17"/>
      <c r="BF36" s="16"/>
      <c r="BG36" s="9"/>
      <c r="BH36" s="16"/>
      <c r="BI36" s="17"/>
      <c r="BJ36" s="16"/>
      <c r="BK36" s="16"/>
      <c r="BL36" s="17"/>
      <c r="BM36" s="16"/>
      <c r="BN36" s="16"/>
      <c r="BO36" s="17"/>
      <c r="BP36" s="16"/>
      <c r="BQ36" s="16"/>
      <c r="BR36" s="17"/>
      <c r="BS36" s="16"/>
      <c r="BT36" s="16"/>
      <c r="BU36" s="17"/>
      <c r="BV36" s="16"/>
      <c r="BW36" s="16"/>
      <c r="BX36" s="17"/>
      <c r="BY36" s="16"/>
      <c r="BZ36" s="70"/>
      <c r="CA36" s="21"/>
      <c r="CB36" s="17"/>
      <c r="CC36" s="21"/>
      <c r="CD36" s="21"/>
      <c r="CE36" s="17"/>
      <c r="CF36" s="21"/>
      <c r="CG36" s="21"/>
      <c r="CH36" s="17"/>
      <c r="CI36" s="21"/>
      <c r="CJ36" s="21"/>
      <c r="CK36" s="17"/>
      <c r="CL36" s="21"/>
      <c r="CM36" s="21"/>
      <c r="CN36" s="17"/>
      <c r="CO36" s="16"/>
      <c r="CP36" s="16"/>
      <c r="CQ36" s="17"/>
      <c r="CR36" s="21"/>
      <c r="CS36" s="70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</row>
    <row r="37" spans="1:124" outlineLevel="1" x14ac:dyDescent="0.15">
      <c r="A37" s="242" t="s">
        <v>82</v>
      </c>
      <c r="B37" s="9"/>
      <c r="C37" s="18"/>
      <c r="D37" s="43">
        <v>48000</v>
      </c>
      <c r="E37" s="5"/>
      <c r="F37" s="44"/>
      <c r="G37" s="43">
        <v>0</v>
      </c>
      <c r="H37" s="5"/>
      <c r="I37" s="44"/>
      <c r="J37" s="43">
        <v>24000</v>
      </c>
      <c r="K37" s="5"/>
      <c r="L37" s="44"/>
      <c r="M37" s="43">
        <v>0</v>
      </c>
      <c r="N37" s="16"/>
      <c r="O37" s="18"/>
      <c r="P37" s="19">
        <f>SUM(D37:M37)</f>
        <v>72000</v>
      </c>
      <c r="Q37" s="16"/>
      <c r="R37" s="18"/>
      <c r="S37" s="238"/>
      <c r="T37" s="16"/>
      <c r="U37" s="9"/>
      <c r="V37" s="18"/>
      <c r="W37" s="43">
        <v>0</v>
      </c>
      <c r="X37" s="5"/>
      <c r="Y37" s="44"/>
      <c r="Z37" s="43">
        <v>0</v>
      </c>
      <c r="AA37" s="5"/>
      <c r="AB37" s="44"/>
      <c r="AC37" s="43">
        <v>0</v>
      </c>
      <c r="AD37" s="5"/>
      <c r="AE37" s="44"/>
      <c r="AF37" s="43">
        <v>0</v>
      </c>
      <c r="AG37" s="16"/>
      <c r="AH37" s="18"/>
      <c r="AI37" s="19">
        <f>SUM(W37:AF37)</f>
        <v>0</v>
      </c>
      <c r="AJ37" s="16"/>
      <c r="AK37" s="18"/>
      <c r="AL37" s="238"/>
      <c r="AM37" s="16"/>
      <c r="AN37" s="9"/>
      <c r="AO37" s="18"/>
      <c r="AP37" s="43">
        <v>0</v>
      </c>
      <c r="AQ37" s="5"/>
      <c r="AR37" s="44"/>
      <c r="AS37" s="43">
        <v>0</v>
      </c>
      <c r="AT37" s="5"/>
      <c r="AU37" s="44"/>
      <c r="AV37" s="43">
        <v>0</v>
      </c>
      <c r="AW37" s="5"/>
      <c r="AX37" s="44"/>
      <c r="AY37" s="43">
        <v>0</v>
      </c>
      <c r="AZ37" s="16"/>
      <c r="BA37" s="18"/>
      <c r="BB37" s="19">
        <f>SUM(AP37:AY37)</f>
        <v>0</v>
      </c>
      <c r="BC37" s="16"/>
      <c r="BD37" s="18"/>
      <c r="BE37" s="238"/>
      <c r="BF37" s="16"/>
      <c r="BG37" s="9"/>
      <c r="BH37" s="18"/>
      <c r="BI37" s="43">
        <v>0</v>
      </c>
      <c r="BJ37" s="5"/>
      <c r="BK37" s="44"/>
      <c r="BL37" s="43">
        <v>0</v>
      </c>
      <c r="BM37" s="5"/>
      <c r="BN37" s="44"/>
      <c r="BO37" s="43">
        <v>0</v>
      </c>
      <c r="BP37" s="5"/>
      <c r="BQ37" s="44"/>
      <c r="BR37" s="43">
        <v>0</v>
      </c>
      <c r="BS37" s="16"/>
      <c r="BT37" s="18"/>
      <c r="BU37" s="19">
        <f>SUM(BI37:BR37)</f>
        <v>0</v>
      </c>
      <c r="BV37" s="16"/>
      <c r="BW37" s="18"/>
      <c r="BX37" s="238"/>
      <c r="BY37" s="16"/>
      <c r="BZ37" s="70"/>
      <c r="CA37" s="75"/>
      <c r="CB37" s="79">
        <f>+D37+W37+AP37+BI37</f>
        <v>48000</v>
      </c>
      <c r="CC37" s="76"/>
      <c r="CD37" s="77"/>
      <c r="CE37" s="79">
        <f>+G37+Z37+AS37+BL37</f>
        <v>0</v>
      </c>
      <c r="CF37" s="76"/>
      <c r="CG37" s="77"/>
      <c r="CH37" s="79">
        <f>+J37+AC37+AV37+BO37</f>
        <v>24000</v>
      </c>
      <c r="CI37" s="76"/>
      <c r="CJ37" s="77"/>
      <c r="CK37" s="79">
        <f>+M37+AF37+AY37+BR37</f>
        <v>0</v>
      </c>
      <c r="CL37" s="21"/>
      <c r="CM37" s="75"/>
      <c r="CN37" s="19">
        <f>SUM(CB37:CK37)</f>
        <v>72000</v>
      </c>
      <c r="CO37" s="16"/>
      <c r="CP37" s="18"/>
      <c r="CQ37" s="238">
        <f>+S37+AL37+BE37+BX37</f>
        <v>0</v>
      </c>
      <c r="CR37" s="21"/>
      <c r="CS37" s="70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</row>
    <row r="38" spans="1:124" outlineLevel="1" x14ac:dyDescent="0.15">
      <c r="A38" s="230"/>
      <c r="B38" s="9"/>
      <c r="C38" s="16"/>
      <c r="D38" s="45"/>
      <c r="E38" s="5"/>
      <c r="F38" s="5"/>
      <c r="G38" s="45"/>
      <c r="H38" s="5"/>
      <c r="I38" s="5"/>
      <c r="J38" s="45"/>
      <c r="K38" s="5"/>
      <c r="L38" s="5"/>
      <c r="M38" s="45"/>
      <c r="N38" s="16"/>
      <c r="O38" s="16"/>
      <c r="P38" s="20"/>
      <c r="Q38" s="16"/>
      <c r="R38" s="16"/>
      <c r="S38" s="218"/>
      <c r="T38" s="16"/>
      <c r="U38" s="9"/>
      <c r="V38" s="16"/>
      <c r="W38" s="45"/>
      <c r="X38" s="5"/>
      <c r="Y38" s="5"/>
      <c r="Z38" s="45"/>
      <c r="AA38" s="5"/>
      <c r="AB38" s="5"/>
      <c r="AC38" s="45"/>
      <c r="AD38" s="5"/>
      <c r="AE38" s="5"/>
      <c r="AF38" s="45"/>
      <c r="AG38" s="16"/>
      <c r="AH38" s="16"/>
      <c r="AI38" s="20"/>
      <c r="AJ38" s="16"/>
      <c r="AK38" s="16"/>
      <c r="AL38" s="218"/>
      <c r="AM38" s="16"/>
      <c r="AN38" s="9"/>
      <c r="AO38" s="16"/>
      <c r="AP38" s="45"/>
      <c r="AQ38" s="5"/>
      <c r="AR38" s="5"/>
      <c r="AS38" s="45"/>
      <c r="AT38" s="5"/>
      <c r="AU38" s="5"/>
      <c r="AV38" s="45"/>
      <c r="AW38" s="5"/>
      <c r="AX38" s="5"/>
      <c r="AY38" s="45"/>
      <c r="AZ38" s="16"/>
      <c r="BA38" s="16"/>
      <c r="BB38" s="20"/>
      <c r="BC38" s="16"/>
      <c r="BD38" s="16"/>
      <c r="BE38" s="218"/>
      <c r="BF38" s="16"/>
      <c r="BG38" s="9"/>
      <c r="BH38" s="16"/>
      <c r="BI38" s="45"/>
      <c r="BJ38" s="5"/>
      <c r="BK38" s="5"/>
      <c r="BL38" s="45"/>
      <c r="BM38" s="5"/>
      <c r="BN38" s="5"/>
      <c r="BO38" s="45"/>
      <c r="BP38" s="5"/>
      <c r="BQ38" s="5"/>
      <c r="BR38" s="45"/>
      <c r="BS38" s="16"/>
      <c r="BT38" s="16"/>
      <c r="BU38" s="20"/>
      <c r="BV38" s="16"/>
      <c r="BW38" s="16"/>
      <c r="BX38" s="218"/>
      <c r="BY38" s="16"/>
      <c r="BZ38" s="70"/>
      <c r="CA38" s="21"/>
      <c r="CB38" s="45"/>
      <c r="CC38" s="76"/>
      <c r="CD38" s="76"/>
      <c r="CE38" s="45"/>
      <c r="CF38" s="76"/>
      <c r="CG38" s="76"/>
      <c r="CH38" s="45"/>
      <c r="CI38" s="76"/>
      <c r="CJ38" s="76"/>
      <c r="CK38" s="45"/>
      <c r="CL38" s="21"/>
      <c r="CM38" s="21"/>
      <c r="CN38" s="20"/>
      <c r="CO38" s="16"/>
      <c r="CP38" s="16"/>
      <c r="CQ38" s="218"/>
      <c r="CR38" s="21"/>
      <c r="CS38" s="70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</row>
    <row r="39" spans="1:124" outlineLevel="1" x14ac:dyDescent="0.15">
      <c r="A39" s="242" t="s">
        <v>83</v>
      </c>
      <c r="B39" s="9"/>
      <c r="C39" s="18"/>
      <c r="D39" s="43">
        <v>60000</v>
      </c>
      <c r="E39" s="5"/>
      <c r="F39" s="44"/>
      <c r="G39" s="43">
        <v>0</v>
      </c>
      <c r="H39" s="5"/>
      <c r="I39" s="44"/>
      <c r="J39" s="43">
        <v>60000</v>
      </c>
      <c r="K39" s="5"/>
      <c r="L39" s="44"/>
      <c r="M39" s="43">
        <v>0</v>
      </c>
      <c r="N39" s="16"/>
      <c r="O39" s="18"/>
      <c r="P39" s="19">
        <f>SUM(D39:M39)</f>
        <v>120000</v>
      </c>
      <c r="Q39" s="16"/>
      <c r="R39" s="18"/>
      <c r="S39" s="238"/>
      <c r="T39" s="16"/>
      <c r="U39" s="9"/>
      <c r="V39" s="18"/>
      <c r="W39" s="43">
        <v>0</v>
      </c>
      <c r="X39" s="5"/>
      <c r="Y39" s="44"/>
      <c r="Z39" s="43">
        <v>0</v>
      </c>
      <c r="AA39" s="5"/>
      <c r="AB39" s="44"/>
      <c r="AC39" s="43">
        <v>0</v>
      </c>
      <c r="AD39" s="5"/>
      <c r="AE39" s="44"/>
      <c r="AF39" s="43">
        <v>0</v>
      </c>
      <c r="AG39" s="16"/>
      <c r="AH39" s="18"/>
      <c r="AI39" s="19">
        <f>SUM(W39:AF39)</f>
        <v>0</v>
      </c>
      <c r="AJ39" s="16"/>
      <c r="AK39" s="18"/>
      <c r="AL39" s="238"/>
      <c r="AM39" s="16"/>
      <c r="AN39" s="9"/>
      <c r="AO39" s="18"/>
      <c r="AP39" s="43">
        <v>0</v>
      </c>
      <c r="AQ39" s="5"/>
      <c r="AR39" s="44"/>
      <c r="AS39" s="43">
        <v>0</v>
      </c>
      <c r="AT39" s="5"/>
      <c r="AU39" s="44"/>
      <c r="AV39" s="43">
        <v>0</v>
      </c>
      <c r="AW39" s="5"/>
      <c r="AX39" s="44"/>
      <c r="AY39" s="43">
        <v>0</v>
      </c>
      <c r="AZ39" s="16"/>
      <c r="BA39" s="18"/>
      <c r="BB39" s="19">
        <f>SUM(AP39:AY39)</f>
        <v>0</v>
      </c>
      <c r="BC39" s="16"/>
      <c r="BD39" s="18"/>
      <c r="BE39" s="238"/>
      <c r="BF39" s="16"/>
      <c r="BG39" s="9"/>
      <c r="BH39" s="18"/>
      <c r="BI39" s="43">
        <v>0</v>
      </c>
      <c r="BJ39" s="5"/>
      <c r="BK39" s="44"/>
      <c r="BL39" s="43">
        <v>0</v>
      </c>
      <c r="BM39" s="5"/>
      <c r="BN39" s="44"/>
      <c r="BO39" s="43">
        <v>0</v>
      </c>
      <c r="BP39" s="5"/>
      <c r="BQ39" s="44"/>
      <c r="BR39" s="43">
        <v>0</v>
      </c>
      <c r="BS39" s="16"/>
      <c r="BT39" s="18"/>
      <c r="BU39" s="19">
        <f>SUM(BI39:BR39)</f>
        <v>0</v>
      </c>
      <c r="BV39" s="16"/>
      <c r="BW39" s="18"/>
      <c r="BX39" s="238"/>
      <c r="BY39" s="16"/>
      <c r="BZ39" s="70"/>
      <c r="CA39" s="75"/>
      <c r="CB39" s="79">
        <f>+D39+W39+AP39+BI39</f>
        <v>60000</v>
      </c>
      <c r="CC39" s="76"/>
      <c r="CD39" s="77"/>
      <c r="CE39" s="79">
        <f>+G39+Z39+AS39+BL39</f>
        <v>0</v>
      </c>
      <c r="CF39" s="76"/>
      <c r="CG39" s="77"/>
      <c r="CH39" s="79">
        <f>+J39+AC39+AV39+BO39</f>
        <v>60000</v>
      </c>
      <c r="CI39" s="76"/>
      <c r="CJ39" s="77"/>
      <c r="CK39" s="79">
        <f>+M39+AF39+AY39+BR39</f>
        <v>0</v>
      </c>
      <c r="CL39" s="21"/>
      <c r="CM39" s="75"/>
      <c r="CN39" s="19">
        <f>SUM(CB39:CK39)</f>
        <v>120000</v>
      </c>
      <c r="CO39" s="16"/>
      <c r="CP39" s="18"/>
      <c r="CQ39" s="238">
        <f>+S39+AL39+BE39+BX39</f>
        <v>0</v>
      </c>
      <c r="CR39" s="21"/>
      <c r="CS39" s="70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</row>
    <row r="40" spans="1:124" outlineLevel="1" x14ac:dyDescent="0.15">
      <c r="A40" s="234"/>
      <c r="B40" s="9"/>
      <c r="C40" s="16"/>
      <c r="D40" s="46"/>
      <c r="E40" s="5"/>
      <c r="F40" s="5"/>
      <c r="G40" s="46"/>
      <c r="H40" s="5"/>
      <c r="I40" s="5"/>
      <c r="J40" s="46"/>
      <c r="K40" s="5"/>
      <c r="L40" s="5"/>
      <c r="M40" s="46"/>
      <c r="N40" s="16"/>
      <c r="O40" s="16"/>
      <c r="P40" s="17"/>
      <c r="Q40" s="16"/>
      <c r="R40" s="16"/>
      <c r="S40" s="219"/>
      <c r="T40" s="16"/>
      <c r="U40" s="9"/>
      <c r="V40" s="16"/>
      <c r="W40" s="46"/>
      <c r="X40" s="5"/>
      <c r="Y40" s="5"/>
      <c r="Z40" s="46"/>
      <c r="AA40" s="5"/>
      <c r="AB40" s="5"/>
      <c r="AC40" s="46"/>
      <c r="AD40" s="5"/>
      <c r="AE40" s="5"/>
      <c r="AF40" s="46"/>
      <c r="AG40" s="16"/>
      <c r="AH40" s="16"/>
      <c r="AI40" s="17"/>
      <c r="AJ40" s="16"/>
      <c r="AK40" s="16"/>
      <c r="AL40" s="219"/>
      <c r="AM40" s="16"/>
      <c r="AN40" s="9"/>
      <c r="AO40" s="16"/>
      <c r="AP40" s="46"/>
      <c r="AQ40" s="5"/>
      <c r="AR40" s="5"/>
      <c r="AS40" s="46"/>
      <c r="AT40" s="5"/>
      <c r="AU40" s="5"/>
      <c r="AV40" s="46"/>
      <c r="AW40" s="5"/>
      <c r="AX40" s="5"/>
      <c r="AY40" s="46"/>
      <c r="AZ40" s="16"/>
      <c r="BA40" s="16"/>
      <c r="BB40" s="17"/>
      <c r="BC40" s="16"/>
      <c r="BD40" s="16"/>
      <c r="BE40" s="219"/>
      <c r="BF40" s="16"/>
      <c r="BG40" s="9"/>
      <c r="BH40" s="16"/>
      <c r="BI40" s="46"/>
      <c r="BJ40" s="5"/>
      <c r="BK40" s="5"/>
      <c r="BL40" s="46"/>
      <c r="BM40" s="5"/>
      <c r="BN40" s="5"/>
      <c r="BO40" s="46"/>
      <c r="BP40" s="5"/>
      <c r="BQ40" s="5"/>
      <c r="BR40" s="46"/>
      <c r="BS40" s="16"/>
      <c r="BT40" s="16"/>
      <c r="BU40" s="17"/>
      <c r="BV40" s="16"/>
      <c r="BW40" s="16"/>
      <c r="BX40" s="219"/>
      <c r="BY40" s="16"/>
      <c r="BZ40" s="70"/>
      <c r="CA40" s="21"/>
      <c r="CB40" s="46"/>
      <c r="CC40" s="76"/>
      <c r="CD40" s="76"/>
      <c r="CE40" s="46"/>
      <c r="CF40" s="76"/>
      <c r="CG40" s="76"/>
      <c r="CH40" s="46"/>
      <c r="CI40" s="76"/>
      <c r="CJ40" s="76"/>
      <c r="CK40" s="46"/>
      <c r="CL40" s="21"/>
      <c r="CM40" s="21"/>
      <c r="CN40" s="17"/>
      <c r="CO40" s="16"/>
      <c r="CP40" s="16"/>
      <c r="CQ40" s="219"/>
      <c r="CR40" s="21"/>
      <c r="CS40" s="70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</row>
    <row r="41" spans="1:124" outlineLevel="1" x14ac:dyDescent="0.15">
      <c r="A41" s="242" t="s">
        <v>84</v>
      </c>
      <c r="B41" s="9"/>
      <c r="C41" s="18"/>
      <c r="D41" s="43">
        <v>500000</v>
      </c>
      <c r="E41" s="5"/>
      <c r="F41" s="44"/>
      <c r="G41" s="43">
        <v>50000</v>
      </c>
      <c r="H41" s="5"/>
      <c r="I41" s="44"/>
      <c r="J41" s="43">
        <v>50000</v>
      </c>
      <c r="K41" s="5"/>
      <c r="L41" s="44"/>
      <c r="M41" s="43">
        <v>0</v>
      </c>
      <c r="N41" s="16"/>
      <c r="O41" s="18"/>
      <c r="P41" s="19">
        <f>SUM(D41:M41)</f>
        <v>600000</v>
      </c>
      <c r="Q41" s="16"/>
      <c r="R41" s="18"/>
      <c r="S41" s="238"/>
      <c r="T41" s="16"/>
      <c r="U41" s="9"/>
      <c r="V41" s="18"/>
      <c r="W41" s="43">
        <v>0</v>
      </c>
      <c r="X41" s="5"/>
      <c r="Y41" s="44"/>
      <c r="Z41" s="43">
        <v>0</v>
      </c>
      <c r="AA41" s="5"/>
      <c r="AB41" s="44"/>
      <c r="AC41" s="43">
        <v>0</v>
      </c>
      <c r="AD41" s="5"/>
      <c r="AE41" s="44"/>
      <c r="AF41" s="43">
        <v>0</v>
      </c>
      <c r="AG41" s="16"/>
      <c r="AH41" s="18"/>
      <c r="AI41" s="19">
        <f>SUM(W41:AF41)</f>
        <v>0</v>
      </c>
      <c r="AJ41" s="16"/>
      <c r="AK41" s="18"/>
      <c r="AL41" s="238"/>
      <c r="AM41" s="16"/>
      <c r="AN41" s="9"/>
      <c r="AO41" s="18"/>
      <c r="AP41" s="43">
        <v>0</v>
      </c>
      <c r="AQ41" s="5"/>
      <c r="AR41" s="44"/>
      <c r="AS41" s="43">
        <v>0</v>
      </c>
      <c r="AT41" s="5"/>
      <c r="AU41" s="44"/>
      <c r="AV41" s="43">
        <v>0</v>
      </c>
      <c r="AW41" s="5"/>
      <c r="AX41" s="44"/>
      <c r="AY41" s="43">
        <v>0</v>
      </c>
      <c r="AZ41" s="16"/>
      <c r="BA41" s="18"/>
      <c r="BB41" s="19">
        <f>SUM(AP41:AY41)</f>
        <v>0</v>
      </c>
      <c r="BC41" s="16"/>
      <c r="BD41" s="18"/>
      <c r="BE41" s="238"/>
      <c r="BF41" s="16"/>
      <c r="BG41" s="9"/>
      <c r="BH41" s="18"/>
      <c r="BI41" s="43">
        <v>0</v>
      </c>
      <c r="BJ41" s="5"/>
      <c r="BK41" s="44"/>
      <c r="BL41" s="43">
        <v>0</v>
      </c>
      <c r="BM41" s="5"/>
      <c r="BN41" s="44"/>
      <c r="BO41" s="43">
        <v>0</v>
      </c>
      <c r="BP41" s="5"/>
      <c r="BQ41" s="44"/>
      <c r="BR41" s="43">
        <v>0</v>
      </c>
      <c r="BS41" s="16"/>
      <c r="BT41" s="18"/>
      <c r="BU41" s="19">
        <f>SUM(BI41:BR41)</f>
        <v>0</v>
      </c>
      <c r="BV41" s="16"/>
      <c r="BW41" s="18"/>
      <c r="BX41" s="238"/>
      <c r="BY41" s="16"/>
      <c r="BZ41" s="70"/>
      <c r="CA41" s="75"/>
      <c r="CB41" s="79">
        <f>+D41+W41+AP41+BI41</f>
        <v>500000</v>
      </c>
      <c r="CC41" s="76"/>
      <c r="CD41" s="77"/>
      <c r="CE41" s="79">
        <f>+G41+Z41+AS41+BL41</f>
        <v>50000</v>
      </c>
      <c r="CF41" s="76"/>
      <c r="CG41" s="77"/>
      <c r="CH41" s="79">
        <f>+J41+AC41+AV41+BO41</f>
        <v>50000</v>
      </c>
      <c r="CI41" s="76"/>
      <c r="CJ41" s="77"/>
      <c r="CK41" s="79">
        <f>+M41+AF41+AY41+BR41</f>
        <v>0</v>
      </c>
      <c r="CL41" s="21"/>
      <c r="CM41" s="75"/>
      <c r="CN41" s="19">
        <f>SUM(CB41:CK41)</f>
        <v>600000</v>
      </c>
      <c r="CO41" s="16"/>
      <c r="CP41" s="18"/>
      <c r="CQ41" s="238">
        <f>+S41+AL41+BE41+BX41</f>
        <v>0</v>
      </c>
      <c r="CR41" s="21"/>
      <c r="CS41" s="70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</row>
    <row r="42" spans="1:124" outlineLevel="1" x14ac:dyDescent="0.15">
      <c r="A42" s="234"/>
      <c r="B42" s="9"/>
      <c r="C42" s="16"/>
      <c r="D42" s="45"/>
      <c r="E42" s="5"/>
      <c r="F42" s="5"/>
      <c r="G42" s="45"/>
      <c r="H42" s="5"/>
      <c r="I42" s="5"/>
      <c r="J42" s="45"/>
      <c r="K42" s="5"/>
      <c r="L42" s="5"/>
      <c r="M42" s="45"/>
      <c r="N42" s="16"/>
      <c r="O42" s="16"/>
      <c r="P42" s="17"/>
      <c r="Q42" s="16"/>
      <c r="R42" s="16"/>
      <c r="S42" s="218"/>
      <c r="T42" s="16"/>
      <c r="U42" s="9"/>
      <c r="V42" s="16"/>
      <c r="W42" s="45"/>
      <c r="X42" s="5"/>
      <c r="Y42" s="5"/>
      <c r="Z42" s="45"/>
      <c r="AA42" s="5"/>
      <c r="AB42" s="5"/>
      <c r="AC42" s="45"/>
      <c r="AD42" s="5"/>
      <c r="AE42" s="5"/>
      <c r="AF42" s="45"/>
      <c r="AG42" s="16"/>
      <c r="AH42" s="16"/>
      <c r="AI42" s="17"/>
      <c r="AJ42" s="16"/>
      <c r="AK42" s="16"/>
      <c r="AL42" s="218"/>
      <c r="AM42" s="16"/>
      <c r="AN42" s="9"/>
      <c r="AO42" s="16"/>
      <c r="AP42" s="45"/>
      <c r="AQ42" s="5"/>
      <c r="AR42" s="5"/>
      <c r="AS42" s="45"/>
      <c r="AT42" s="5"/>
      <c r="AU42" s="5"/>
      <c r="AV42" s="45"/>
      <c r="AW42" s="5"/>
      <c r="AX42" s="5"/>
      <c r="AY42" s="45"/>
      <c r="AZ42" s="16"/>
      <c r="BA42" s="16"/>
      <c r="BB42" s="17"/>
      <c r="BC42" s="16"/>
      <c r="BD42" s="16"/>
      <c r="BE42" s="218"/>
      <c r="BF42" s="16"/>
      <c r="BG42" s="9"/>
      <c r="BH42" s="16"/>
      <c r="BI42" s="45"/>
      <c r="BJ42" s="5"/>
      <c r="BK42" s="5"/>
      <c r="BL42" s="45"/>
      <c r="BM42" s="5"/>
      <c r="BN42" s="5"/>
      <c r="BO42" s="45"/>
      <c r="BP42" s="5"/>
      <c r="BQ42" s="5"/>
      <c r="BR42" s="45"/>
      <c r="BS42" s="16"/>
      <c r="BT42" s="16"/>
      <c r="BU42" s="17"/>
      <c r="BV42" s="16"/>
      <c r="BW42" s="16"/>
      <c r="BX42" s="218"/>
      <c r="BY42" s="16"/>
      <c r="BZ42" s="70"/>
      <c r="CA42" s="21"/>
      <c r="CB42" s="45"/>
      <c r="CC42" s="76"/>
      <c r="CD42" s="76"/>
      <c r="CE42" s="45"/>
      <c r="CF42" s="76"/>
      <c r="CG42" s="76"/>
      <c r="CH42" s="45"/>
      <c r="CI42" s="76"/>
      <c r="CJ42" s="76"/>
      <c r="CK42" s="45"/>
      <c r="CL42" s="21"/>
      <c r="CM42" s="21"/>
      <c r="CN42" s="17"/>
      <c r="CO42" s="16"/>
      <c r="CP42" s="16"/>
      <c r="CQ42" s="218"/>
      <c r="CR42" s="21"/>
      <c r="CS42" s="70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</row>
    <row r="43" spans="1:124" outlineLevel="1" x14ac:dyDescent="0.15">
      <c r="A43" s="242" t="s">
        <v>85</v>
      </c>
      <c r="B43" s="9"/>
      <c r="C43" s="18"/>
      <c r="D43" s="43">
        <v>500000</v>
      </c>
      <c r="E43" s="5"/>
      <c r="F43" s="44"/>
      <c r="G43" s="43">
        <v>20000</v>
      </c>
      <c r="H43" s="5"/>
      <c r="I43" s="44"/>
      <c r="J43" s="43">
        <v>20000</v>
      </c>
      <c r="K43" s="5"/>
      <c r="L43" s="44"/>
      <c r="M43" s="43">
        <v>0</v>
      </c>
      <c r="N43" s="16"/>
      <c r="O43" s="18"/>
      <c r="P43" s="19">
        <f>SUM(D43:M43)</f>
        <v>540000</v>
      </c>
      <c r="Q43" s="16"/>
      <c r="R43" s="18"/>
      <c r="S43" s="238"/>
      <c r="T43" s="16"/>
      <c r="U43" s="9"/>
      <c r="V43" s="18"/>
      <c r="W43" s="43">
        <v>0</v>
      </c>
      <c r="X43" s="5"/>
      <c r="Y43" s="44"/>
      <c r="Z43" s="43">
        <v>0</v>
      </c>
      <c r="AA43" s="5"/>
      <c r="AB43" s="44"/>
      <c r="AC43" s="43">
        <v>0</v>
      </c>
      <c r="AD43" s="5"/>
      <c r="AE43" s="44"/>
      <c r="AF43" s="43">
        <v>0</v>
      </c>
      <c r="AG43" s="16"/>
      <c r="AH43" s="18"/>
      <c r="AI43" s="19">
        <f>SUM(W43:AF43)</f>
        <v>0</v>
      </c>
      <c r="AJ43" s="16"/>
      <c r="AK43" s="18"/>
      <c r="AL43" s="238"/>
      <c r="AM43" s="16"/>
      <c r="AN43" s="9"/>
      <c r="AO43" s="18"/>
      <c r="AP43" s="43">
        <v>0</v>
      </c>
      <c r="AQ43" s="5"/>
      <c r="AR43" s="44"/>
      <c r="AS43" s="43">
        <v>0</v>
      </c>
      <c r="AT43" s="5"/>
      <c r="AU43" s="44"/>
      <c r="AV43" s="43">
        <v>0</v>
      </c>
      <c r="AW43" s="5"/>
      <c r="AX43" s="44"/>
      <c r="AY43" s="43">
        <v>0</v>
      </c>
      <c r="AZ43" s="16"/>
      <c r="BA43" s="18"/>
      <c r="BB43" s="19">
        <f>SUM(AP43:AY43)</f>
        <v>0</v>
      </c>
      <c r="BC43" s="16"/>
      <c r="BD43" s="18"/>
      <c r="BE43" s="238"/>
      <c r="BF43" s="16"/>
      <c r="BG43" s="9"/>
      <c r="BH43" s="18"/>
      <c r="BI43" s="43">
        <v>0</v>
      </c>
      <c r="BJ43" s="5"/>
      <c r="BK43" s="44"/>
      <c r="BL43" s="43">
        <v>0</v>
      </c>
      <c r="BM43" s="5"/>
      <c r="BN43" s="44"/>
      <c r="BO43" s="43">
        <v>0</v>
      </c>
      <c r="BP43" s="5"/>
      <c r="BQ43" s="44"/>
      <c r="BR43" s="43">
        <v>0</v>
      </c>
      <c r="BS43" s="16"/>
      <c r="BT43" s="18"/>
      <c r="BU43" s="19">
        <f>SUM(BI43:BR43)</f>
        <v>0</v>
      </c>
      <c r="BV43" s="16"/>
      <c r="BW43" s="18"/>
      <c r="BX43" s="238"/>
      <c r="BY43" s="16"/>
      <c r="BZ43" s="70"/>
      <c r="CA43" s="75"/>
      <c r="CB43" s="79">
        <f>+D43+W43+AP43+BI43</f>
        <v>500000</v>
      </c>
      <c r="CC43" s="76"/>
      <c r="CD43" s="77"/>
      <c r="CE43" s="79">
        <f>+G43+Z43+AS43+BL43</f>
        <v>20000</v>
      </c>
      <c r="CF43" s="76"/>
      <c r="CG43" s="77"/>
      <c r="CH43" s="79">
        <f>+J43+AC43+AV43+BO43</f>
        <v>20000</v>
      </c>
      <c r="CI43" s="76"/>
      <c r="CJ43" s="77"/>
      <c r="CK43" s="79">
        <f>+M43+AF43+AY43+BR43</f>
        <v>0</v>
      </c>
      <c r="CL43" s="21"/>
      <c r="CM43" s="75"/>
      <c r="CN43" s="19">
        <f>SUM(CB43:CK43)</f>
        <v>540000</v>
      </c>
      <c r="CO43" s="16"/>
      <c r="CP43" s="18"/>
      <c r="CQ43" s="238">
        <f>+S43+AL43+BE43+BX43</f>
        <v>0</v>
      </c>
      <c r="CR43" s="21"/>
      <c r="CS43" s="70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</row>
    <row r="44" spans="1:124" outlineLevel="1" x14ac:dyDescent="0.15">
      <c r="A44" s="234"/>
      <c r="B44" s="9"/>
      <c r="C44" s="16"/>
      <c r="D44" s="46"/>
      <c r="E44" s="5"/>
      <c r="F44" s="5"/>
      <c r="G44" s="46"/>
      <c r="H44" s="5"/>
      <c r="I44" s="5"/>
      <c r="J44" s="46"/>
      <c r="K44" s="5"/>
      <c r="L44" s="5"/>
      <c r="M44" s="46"/>
      <c r="N44" s="16"/>
      <c r="O44" s="16"/>
      <c r="P44" s="17"/>
      <c r="Q44" s="16"/>
      <c r="R44" s="16"/>
      <c r="S44" s="219"/>
      <c r="T44" s="16"/>
      <c r="U44" s="9"/>
      <c r="V44" s="16"/>
      <c r="W44" s="46"/>
      <c r="X44" s="5"/>
      <c r="Y44" s="5"/>
      <c r="Z44" s="46"/>
      <c r="AA44" s="5"/>
      <c r="AB44" s="5"/>
      <c r="AC44" s="46"/>
      <c r="AD44" s="5"/>
      <c r="AE44" s="5"/>
      <c r="AF44" s="46"/>
      <c r="AG44" s="16"/>
      <c r="AH44" s="16"/>
      <c r="AI44" s="17"/>
      <c r="AJ44" s="16"/>
      <c r="AK44" s="16"/>
      <c r="AL44" s="219"/>
      <c r="AM44" s="16"/>
      <c r="AN44" s="9"/>
      <c r="AO44" s="16"/>
      <c r="AP44" s="46"/>
      <c r="AQ44" s="5"/>
      <c r="AR44" s="5"/>
      <c r="AS44" s="46"/>
      <c r="AT44" s="5"/>
      <c r="AU44" s="5"/>
      <c r="AV44" s="46"/>
      <c r="AW44" s="5"/>
      <c r="AX44" s="5"/>
      <c r="AY44" s="46"/>
      <c r="AZ44" s="16"/>
      <c r="BA44" s="16"/>
      <c r="BB44" s="17"/>
      <c r="BC44" s="16"/>
      <c r="BD44" s="16"/>
      <c r="BE44" s="219"/>
      <c r="BF44" s="16"/>
      <c r="BG44" s="9"/>
      <c r="BH44" s="16"/>
      <c r="BI44" s="46"/>
      <c r="BJ44" s="5"/>
      <c r="BK44" s="5"/>
      <c r="BL44" s="46"/>
      <c r="BM44" s="5"/>
      <c r="BN44" s="5"/>
      <c r="BO44" s="46"/>
      <c r="BP44" s="5"/>
      <c r="BQ44" s="5"/>
      <c r="BR44" s="46"/>
      <c r="BS44" s="16"/>
      <c r="BT44" s="16"/>
      <c r="BU44" s="17"/>
      <c r="BV44" s="16"/>
      <c r="BW44" s="16"/>
      <c r="BX44" s="219"/>
      <c r="BY44" s="16"/>
      <c r="BZ44" s="70"/>
      <c r="CA44" s="21"/>
      <c r="CB44" s="46"/>
      <c r="CC44" s="76"/>
      <c r="CD44" s="76"/>
      <c r="CE44" s="46"/>
      <c r="CF44" s="76"/>
      <c r="CG44" s="76"/>
      <c r="CH44" s="46"/>
      <c r="CI44" s="76"/>
      <c r="CJ44" s="76"/>
      <c r="CK44" s="46"/>
      <c r="CL44" s="21"/>
      <c r="CM44" s="21"/>
      <c r="CN44" s="17"/>
      <c r="CO44" s="16"/>
      <c r="CP44" s="16"/>
      <c r="CQ44" s="219"/>
      <c r="CR44" s="21"/>
      <c r="CS44" s="70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</row>
    <row r="45" spans="1:124" outlineLevel="1" x14ac:dyDescent="0.15">
      <c r="A45" s="235" t="s">
        <v>116</v>
      </c>
      <c r="B45" s="9"/>
      <c r="C45" s="18"/>
      <c r="D45" s="43">
        <v>300000</v>
      </c>
      <c r="E45" s="5"/>
      <c r="F45" s="44"/>
      <c r="G45" s="43">
        <v>0</v>
      </c>
      <c r="H45" s="5"/>
      <c r="I45" s="44"/>
      <c r="J45" s="43">
        <v>0</v>
      </c>
      <c r="K45" s="5"/>
      <c r="L45" s="44"/>
      <c r="M45" s="43">
        <v>0</v>
      </c>
      <c r="N45" s="16"/>
      <c r="O45" s="18"/>
      <c r="P45" s="19">
        <f>SUM(D45:M45)</f>
        <v>300000</v>
      </c>
      <c r="Q45" s="16"/>
      <c r="R45" s="18"/>
      <c r="S45" s="238"/>
      <c r="T45" s="16"/>
      <c r="U45" s="9"/>
      <c r="V45" s="18"/>
      <c r="W45" s="43">
        <v>0</v>
      </c>
      <c r="X45" s="5"/>
      <c r="Y45" s="44"/>
      <c r="Z45" s="43">
        <v>0</v>
      </c>
      <c r="AA45" s="5"/>
      <c r="AB45" s="44"/>
      <c r="AC45" s="43">
        <v>0</v>
      </c>
      <c r="AD45" s="5"/>
      <c r="AE45" s="44"/>
      <c r="AF45" s="43">
        <v>0</v>
      </c>
      <c r="AG45" s="16"/>
      <c r="AH45" s="18"/>
      <c r="AI45" s="19">
        <f>SUM(W45:AF45)</f>
        <v>0</v>
      </c>
      <c r="AJ45" s="16"/>
      <c r="AK45" s="18"/>
      <c r="AL45" s="238"/>
      <c r="AM45" s="16"/>
      <c r="AN45" s="9"/>
      <c r="AO45" s="18"/>
      <c r="AP45" s="43">
        <v>0</v>
      </c>
      <c r="AQ45" s="5"/>
      <c r="AR45" s="44"/>
      <c r="AS45" s="43">
        <v>0</v>
      </c>
      <c r="AT45" s="5"/>
      <c r="AU45" s="44"/>
      <c r="AV45" s="43">
        <v>0</v>
      </c>
      <c r="AW45" s="5"/>
      <c r="AX45" s="44"/>
      <c r="AY45" s="43">
        <v>0</v>
      </c>
      <c r="AZ45" s="16"/>
      <c r="BA45" s="18"/>
      <c r="BB45" s="19">
        <f>SUM(AP45:AY45)</f>
        <v>0</v>
      </c>
      <c r="BC45" s="16"/>
      <c r="BD45" s="18"/>
      <c r="BE45" s="238"/>
      <c r="BF45" s="16"/>
      <c r="BG45" s="9"/>
      <c r="BH45" s="18"/>
      <c r="BI45" s="43">
        <v>0</v>
      </c>
      <c r="BJ45" s="5"/>
      <c r="BK45" s="44"/>
      <c r="BL45" s="43">
        <v>0</v>
      </c>
      <c r="BM45" s="5"/>
      <c r="BN45" s="44"/>
      <c r="BO45" s="43">
        <v>0</v>
      </c>
      <c r="BP45" s="5"/>
      <c r="BQ45" s="44"/>
      <c r="BR45" s="43">
        <v>0</v>
      </c>
      <c r="BS45" s="16"/>
      <c r="BT45" s="18"/>
      <c r="BU45" s="19">
        <f>SUM(BI45:BR45)</f>
        <v>0</v>
      </c>
      <c r="BV45" s="16"/>
      <c r="BW45" s="18"/>
      <c r="BX45" s="238"/>
      <c r="BY45" s="16"/>
      <c r="BZ45" s="70"/>
      <c r="CA45" s="75"/>
      <c r="CB45" s="79">
        <f>+D45+W45+AP45+BI45</f>
        <v>300000</v>
      </c>
      <c r="CC45" s="76"/>
      <c r="CD45" s="77"/>
      <c r="CE45" s="79">
        <f>+G45+Z45+AS45+BL45</f>
        <v>0</v>
      </c>
      <c r="CF45" s="76"/>
      <c r="CG45" s="77"/>
      <c r="CH45" s="79">
        <f>+J45+AC45+AV45+BO45</f>
        <v>0</v>
      </c>
      <c r="CI45" s="76"/>
      <c r="CJ45" s="77"/>
      <c r="CK45" s="79">
        <f>+M45+AF45+AY45+BR45</f>
        <v>0</v>
      </c>
      <c r="CL45" s="21"/>
      <c r="CM45" s="75"/>
      <c r="CN45" s="19">
        <f>SUM(CB45:CK45)</f>
        <v>300000</v>
      </c>
      <c r="CO45" s="16"/>
      <c r="CP45" s="18"/>
      <c r="CQ45" s="238">
        <f>+S45+AL45+BE45+BX45</f>
        <v>0</v>
      </c>
      <c r="CR45" s="21"/>
      <c r="CS45" s="70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</row>
    <row r="46" spans="1:124" outlineLevel="1" x14ac:dyDescent="0.15">
      <c r="A46" s="230"/>
      <c r="B46" s="9"/>
      <c r="C46" s="16"/>
      <c r="D46" s="45"/>
      <c r="E46" s="5"/>
      <c r="F46" s="5"/>
      <c r="G46" s="45"/>
      <c r="H46" s="5"/>
      <c r="I46" s="5"/>
      <c r="J46" s="45"/>
      <c r="K46" s="5"/>
      <c r="L46" s="5"/>
      <c r="M46" s="45"/>
      <c r="N46" s="16"/>
      <c r="O46" s="16"/>
      <c r="P46" s="20"/>
      <c r="Q46" s="16"/>
      <c r="R46" s="16"/>
      <c r="S46" s="218"/>
      <c r="T46" s="16"/>
      <c r="U46" s="9"/>
      <c r="V46" s="16"/>
      <c r="W46" s="45"/>
      <c r="X46" s="5"/>
      <c r="Y46" s="5"/>
      <c r="Z46" s="45"/>
      <c r="AA46" s="5"/>
      <c r="AB46" s="5"/>
      <c r="AC46" s="45"/>
      <c r="AD46" s="5"/>
      <c r="AE46" s="5"/>
      <c r="AF46" s="45"/>
      <c r="AG46" s="16"/>
      <c r="AH46" s="16"/>
      <c r="AI46" s="20"/>
      <c r="AJ46" s="16"/>
      <c r="AK46" s="16"/>
      <c r="AL46" s="218"/>
      <c r="AM46" s="16"/>
      <c r="AN46" s="9"/>
      <c r="AO46" s="16"/>
      <c r="AP46" s="45"/>
      <c r="AQ46" s="5"/>
      <c r="AR46" s="5"/>
      <c r="AS46" s="45"/>
      <c r="AT46" s="5"/>
      <c r="AU46" s="5"/>
      <c r="AV46" s="45"/>
      <c r="AW46" s="5"/>
      <c r="AX46" s="5"/>
      <c r="AY46" s="45"/>
      <c r="AZ46" s="16"/>
      <c r="BA46" s="16"/>
      <c r="BB46" s="20"/>
      <c r="BC46" s="16"/>
      <c r="BD46" s="16"/>
      <c r="BE46" s="218"/>
      <c r="BF46" s="16"/>
      <c r="BG46" s="9"/>
      <c r="BH46" s="16"/>
      <c r="BI46" s="45"/>
      <c r="BJ46" s="5"/>
      <c r="BK46" s="5"/>
      <c r="BL46" s="45"/>
      <c r="BM46" s="5"/>
      <c r="BN46" s="5"/>
      <c r="BO46" s="45"/>
      <c r="BP46" s="5"/>
      <c r="BQ46" s="5"/>
      <c r="BR46" s="45"/>
      <c r="BS46" s="16"/>
      <c r="BT46" s="16"/>
      <c r="BU46" s="20"/>
      <c r="BV46" s="16"/>
      <c r="BW46" s="16"/>
      <c r="BX46" s="218"/>
      <c r="BY46" s="16"/>
      <c r="BZ46" s="70"/>
      <c r="CA46" s="21"/>
      <c r="CB46" s="45"/>
      <c r="CC46" s="76"/>
      <c r="CD46" s="76"/>
      <c r="CE46" s="45"/>
      <c r="CF46" s="76"/>
      <c r="CG46" s="76"/>
      <c r="CH46" s="45"/>
      <c r="CI46" s="76"/>
      <c r="CJ46" s="76"/>
      <c r="CK46" s="45"/>
      <c r="CL46" s="21"/>
      <c r="CM46" s="21"/>
      <c r="CN46" s="20"/>
      <c r="CO46" s="16"/>
      <c r="CP46" s="16"/>
      <c r="CQ46" s="218"/>
      <c r="CR46" s="21"/>
      <c r="CS46" s="70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</row>
    <row r="47" spans="1:124" outlineLevel="1" x14ac:dyDescent="0.15">
      <c r="A47" s="235"/>
      <c r="B47" s="9"/>
      <c r="C47" s="18"/>
      <c r="D47" s="43">
        <v>0</v>
      </c>
      <c r="E47" s="5"/>
      <c r="F47" s="44"/>
      <c r="G47" s="43">
        <v>0</v>
      </c>
      <c r="H47" s="5"/>
      <c r="I47" s="44"/>
      <c r="J47" s="43">
        <v>0</v>
      </c>
      <c r="K47" s="5"/>
      <c r="L47" s="44"/>
      <c r="M47" s="43">
        <v>0</v>
      </c>
      <c r="N47" s="16"/>
      <c r="O47" s="18"/>
      <c r="P47" s="19">
        <f>SUM(D47:M47)</f>
        <v>0</v>
      </c>
      <c r="Q47" s="16"/>
      <c r="R47" s="18"/>
      <c r="S47" s="238"/>
      <c r="T47" s="16"/>
      <c r="U47" s="9"/>
      <c r="V47" s="18"/>
      <c r="W47" s="43">
        <v>0</v>
      </c>
      <c r="X47" s="5"/>
      <c r="Y47" s="44"/>
      <c r="Z47" s="43">
        <v>0</v>
      </c>
      <c r="AA47" s="5"/>
      <c r="AB47" s="44"/>
      <c r="AC47" s="43">
        <v>0</v>
      </c>
      <c r="AD47" s="5"/>
      <c r="AE47" s="44"/>
      <c r="AF47" s="43">
        <v>0</v>
      </c>
      <c r="AG47" s="16"/>
      <c r="AH47" s="18"/>
      <c r="AI47" s="19">
        <f>SUM(W47:AF47)</f>
        <v>0</v>
      </c>
      <c r="AJ47" s="16"/>
      <c r="AK47" s="18"/>
      <c r="AL47" s="238"/>
      <c r="AM47" s="16"/>
      <c r="AN47" s="9"/>
      <c r="AO47" s="18"/>
      <c r="AP47" s="43">
        <v>0</v>
      </c>
      <c r="AQ47" s="5"/>
      <c r="AR47" s="44"/>
      <c r="AS47" s="43">
        <v>0</v>
      </c>
      <c r="AT47" s="5"/>
      <c r="AU47" s="44"/>
      <c r="AV47" s="43">
        <v>0</v>
      </c>
      <c r="AW47" s="5"/>
      <c r="AX47" s="44"/>
      <c r="AY47" s="43">
        <v>0</v>
      </c>
      <c r="AZ47" s="16"/>
      <c r="BA47" s="18"/>
      <c r="BB47" s="19">
        <f>SUM(AP47:AY47)</f>
        <v>0</v>
      </c>
      <c r="BC47" s="16"/>
      <c r="BD47" s="18"/>
      <c r="BE47" s="238"/>
      <c r="BF47" s="16"/>
      <c r="BG47" s="9"/>
      <c r="BH47" s="18"/>
      <c r="BI47" s="43">
        <v>0</v>
      </c>
      <c r="BJ47" s="5"/>
      <c r="BK47" s="44"/>
      <c r="BL47" s="43">
        <v>0</v>
      </c>
      <c r="BM47" s="5"/>
      <c r="BN47" s="44"/>
      <c r="BO47" s="43">
        <v>0</v>
      </c>
      <c r="BP47" s="5"/>
      <c r="BQ47" s="44"/>
      <c r="BR47" s="43">
        <v>0</v>
      </c>
      <c r="BS47" s="16"/>
      <c r="BT47" s="18"/>
      <c r="BU47" s="19">
        <f>SUM(BI47:BR47)</f>
        <v>0</v>
      </c>
      <c r="BV47" s="16"/>
      <c r="BW47" s="18"/>
      <c r="BX47" s="238"/>
      <c r="BY47" s="16"/>
      <c r="BZ47" s="70"/>
      <c r="CA47" s="75"/>
      <c r="CB47" s="79">
        <f>+D47+W47+AP47+BI47</f>
        <v>0</v>
      </c>
      <c r="CC47" s="76"/>
      <c r="CD47" s="77"/>
      <c r="CE47" s="79">
        <f>+G47+Z47+AS47+BL47</f>
        <v>0</v>
      </c>
      <c r="CF47" s="76"/>
      <c r="CG47" s="77"/>
      <c r="CH47" s="79">
        <f>+J47+AC47+AV47+BO47</f>
        <v>0</v>
      </c>
      <c r="CI47" s="76"/>
      <c r="CJ47" s="77"/>
      <c r="CK47" s="79">
        <f>+M47+AF47+AY47+BR47</f>
        <v>0</v>
      </c>
      <c r="CL47" s="21"/>
      <c r="CM47" s="75"/>
      <c r="CN47" s="19">
        <f>SUM(CB47:CK47)</f>
        <v>0</v>
      </c>
      <c r="CO47" s="16"/>
      <c r="CP47" s="18"/>
      <c r="CQ47" s="238">
        <f>+S47+AL47+BE47+BX47</f>
        <v>0</v>
      </c>
      <c r="CR47" s="21"/>
      <c r="CS47" s="70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</row>
    <row r="48" spans="1:124" outlineLevel="1" x14ac:dyDescent="0.15">
      <c r="A48" s="234"/>
      <c r="B48" s="9"/>
      <c r="C48" s="16"/>
      <c r="D48" s="46"/>
      <c r="E48" s="5"/>
      <c r="F48" s="5"/>
      <c r="G48" s="46"/>
      <c r="H48" s="5"/>
      <c r="I48" s="5"/>
      <c r="J48" s="46"/>
      <c r="K48" s="5"/>
      <c r="L48" s="5"/>
      <c r="M48" s="46"/>
      <c r="N48" s="16"/>
      <c r="O48" s="16"/>
      <c r="P48" s="17"/>
      <c r="Q48" s="16"/>
      <c r="R48" s="16"/>
      <c r="S48" s="219"/>
      <c r="T48" s="16"/>
      <c r="U48" s="9"/>
      <c r="V48" s="16"/>
      <c r="W48" s="46"/>
      <c r="X48" s="5"/>
      <c r="Y48" s="5"/>
      <c r="Z48" s="46"/>
      <c r="AA48" s="5"/>
      <c r="AB48" s="5"/>
      <c r="AC48" s="46"/>
      <c r="AD48" s="5"/>
      <c r="AE48" s="5"/>
      <c r="AF48" s="46"/>
      <c r="AG48" s="16"/>
      <c r="AH48" s="16"/>
      <c r="AI48" s="17"/>
      <c r="AJ48" s="16"/>
      <c r="AK48" s="16"/>
      <c r="AL48" s="219"/>
      <c r="AM48" s="16"/>
      <c r="AN48" s="9"/>
      <c r="AO48" s="16"/>
      <c r="AP48" s="46"/>
      <c r="AQ48" s="5"/>
      <c r="AR48" s="5"/>
      <c r="AS48" s="46"/>
      <c r="AT48" s="5"/>
      <c r="AU48" s="5"/>
      <c r="AV48" s="46"/>
      <c r="AW48" s="5"/>
      <c r="AX48" s="5"/>
      <c r="AY48" s="46"/>
      <c r="AZ48" s="16"/>
      <c r="BA48" s="16"/>
      <c r="BB48" s="17"/>
      <c r="BC48" s="16"/>
      <c r="BD48" s="16"/>
      <c r="BE48" s="219"/>
      <c r="BF48" s="16"/>
      <c r="BG48" s="9"/>
      <c r="BH48" s="16"/>
      <c r="BI48" s="46"/>
      <c r="BJ48" s="5"/>
      <c r="BK48" s="5"/>
      <c r="BL48" s="46"/>
      <c r="BM48" s="5"/>
      <c r="BN48" s="5"/>
      <c r="BO48" s="46"/>
      <c r="BP48" s="5"/>
      <c r="BQ48" s="5"/>
      <c r="BR48" s="46"/>
      <c r="BS48" s="16"/>
      <c r="BT48" s="16"/>
      <c r="BU48" s="17"/>
      <c r="BV48" s="16"/>
      <c r="BW48" s="16"/>
      <c r="BX48" s="219"/>
      <c r="BY48" s="16"/>
      <c r="BZ48" s="70"/>
      <c r="CA48" s="21"/>
      <c r="CB48" s="46"/>
      <c r="CC48" s="76"/>
      <c r="CD48" s="76"/>
      <c r="CE48" s="46"/>
      <c r="CF48" s="76"/>
      <c r="CG48" s="76"/>
      <c r="CH48" s="46"/>
      <c r="CI48" s="76"/>
      <c r="CJ48" s="76"/>
      <c r="CK48" s="46"/>
      <c r="CL48" s="21"/>
      <c r="CM48" s="21"/>
      <c r="CN48" s="17"/>
      <c r="CO48" s="16"/>
      <c r="CP48" s="16"/>
      <c r="CQ48" s="219"/>
      <c r="CR48" s="21"/>
      <c r="CS48" s="70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</row>
    <row r="49" spans="1:124" outlineLevel="1" x14ac:dyDescent="0.15">
      <c r="A49" s="235"/>
      <c r="B49" s="9"/>
      <c r="C49" s="18"/>
      <c r="D49" s="43">
        <v>0</v>
      </c>
      <c r="E49" s="5"/>
      <c r="F49" s="44"/>
      <c r="G49" s="43">
        <v>0</v>
      </c>
      <c r="H49" s="5"/>
      <c r="I49" s="44"/>
      <c r="J49" s="43">
        <v>0</v>
      </c>
      <c r="K49" s="5"/>
      <c r="L49" s="44"/>
      <c r="M49" s="43">
        <v>0</v>
      </c>
      <c r="N49" s="16"/>
      <c r="O49" s="18"/>
      <c r="P49" s="19">
        <f>SUM(D49:M49)</f>
        <v>0</v>
      </c>
      <c r="Q49" s="16"/>
      <c r="R49" s="18"/>
      <c r="S49" s="238"/>
      <c r="T49" s="16"/>
      <c r="U49" s="9"/>
      <c r="V49" s="18"/>
      <c r="W49" s="43">
        <v>0</v>
      </c>
      <c r="X49" s="5"/>
      <c r="Y49" s="44"/>
      <c r="Z49" s="43">
        <v>0</v>
      </c>
      <c r="AA49" s="5"/>
      <c r="AB49" s="44"/>
      <c r="AC49" s="43">
        <v>0</v>
      </c>
      <c r="AD49" s="5"/>
      <c r="AE49" s="44"/>
      <c r="AF49" s="43">
        <v>0</v>
      </c>
      <c r="AG49" s="16"/>
      <c r="AH49" s="18"/>
      <c r="AI49" s="19">
        <f>SUM(W49:AF49)</f>
        <v>0</v>
      </c>
      <c r="AJ49" s="16"/>
      <c r="AK49" s="18"/>
      <c r="AL49" s="238"/>
      <c r="AM49" s="16"/>
      <c r="AN49" s="9"/>
      <c r="AO49" s="18"/>
      <c r="AP49" s="43">
        <v>0</v>
      </c>
      <c r="AQ49" s="5"/>
      <c r="AR49" s="44"/>
      <c r="AS49" s="43">
        <v>0</v>
      </c>
      <c r="AT49" s="5"/>
      <c r="AU49" s="44"/>
      <c r="AV49" s="43">
        <v>0</v>
      </c>
      <c r="AW49" s="5"/>
      <c r="AX49" s="44"/>
      <c r="AY49" s="43">
        <v>0</v>
      </c>
      <c r="AZ49" s="16"/>
      <c r="BA49" s="18"/>
      <c r="BB49" s="19">
        <f>SUM(AP49:AY49)</f>
        <v>0</v>
      </c>
      <c r="BC49" s="16"/>
      <c r="BD49" s="18"/>
      <c r="BE49" s="238"/>
      <c r="BF49" s="16"/>
      <c r="BG49" s="9"/>
      <c r="BH49" s="18"/>
      <c r="BI49" s="43">
        <v>0</v>
      </c>
      <c r="BJ49" s="5"/>
      <c r="BK49" s="44"/>
      <c r="BL49" s="43">
        <v>0</v>
      </c>
      <c r="BM49" s="5"/>
      <c r="BN49" s="44"/>
      <c r="BO49" s="43">
        <v>0</v>
      </c>
      <c r="BP49" s="5"/>
      <c r="BQ49" s="44"/>
      <c r="BR49" s="43">
        <v>0</v>
      </c>
      <c r="BS49" s="16"/>
      <c r="BT49" s="18"/>
      <c r="BU49" s="19">
        <f>SUM(BI49:BR49)</f>
        <v>0</v>
      </c>
      <c r="BV49" s="16"/>
      <c r="BW49" s="18"/>
      <c r="BX49" s="238"/>
      <c r="BY49" s="16"/>
      <c r="BZ49" s="70"/>
      <c r="CA49" s="75"/>
      <c r="CB49" s="79">
        <f>+D49+W49+AP49+BI49</f>
        <v>0</v>
      </c>
      <c r="CC49" s="76"/>
      <c r="CD49" s="77"/>
      <c r="CE49" s="79">
        <f>+G49+Z49+AS49+BL49</f>
        <v>0</v>
      </c>
      <c r="CF49" s="76"/>
      <c r="CG49" s="77"/>
      <c r="CH49" s="79">
        <f>+J49+AC49+AV49+BO49</f>
        <v>0</v>
      </c>
      <c r="CI49" s="76"/>
      <c r="CJ49" s="77"/>
      <c r="CK49" s="79">
        <f>+M49+AF49+AY49+BR49</f>
        <v>0</v>
      </c>
      <c r="CL49" s="21"/>
      <c r="CM49" s="75"/>
      <c r="CN49" s="19">
        <f>SUM(CB49:CK49)</f>
        <v>0</v>
      </c>
      <c r="CO49" s="16"/>
      <c r="CP49" s="18"/>
      <c r="CQ49" s="238">
        <f>+S49+AL49+BE49+BX49</f>
        <v>0</v>
      </c>
      <c r="CR49" s="21"/>
      <c r="CS49" s="70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</row>
    <row r="50" spans="1:124" outlineLevel="1" x14ac:dyDescent="0.15">
      <c r="A50" s="234"/>
      <c r="B50" s="9"/>
      <c r="C50" s="16"/>
      <c r="D50" s="45"/>
      <c r="E50" s="5"/>
      <c r="F50" s="5"/>
      <c r="G50" s="45"/>
      <c r="H50" s="5"/>
      <c r="I50" s="5"/>
      <c r="J50" s="45"/>
      <c r="K50" s="5"/>
      <c r="L50" s="5"/>
      <c r="M50" s="45"/>
      <c r="N50" s="16"/>
      <c r="O50" s="16"/>
      <c r="P50" s="17"/>
      <c r="Q50" s="16"/>
      <c r="R50" s="16"/>
      <c r="S50" s="218"/>
      <c r="T50" s="16"/>
      <c r="U50" s="9"/>
      <c r="V50" s="16"/>
      <c r="W50" s="45"/>
      <c r="X50" s="5"/>
      <c r="Y50" s="5"/>
      <c r="Z50" s="45"/>
      <c r="AA50" s="5"/>
      <c r="AB50" s="5"/>
      <c r="AC50" s="45"/>
      <c r="AD50" s="5"/>
      <c r="AE50" s="5"/>
      <c r="AF50" s="45"/>
      <c r="AG50" s="16"/>
      <c r="AH50" s="16"/>
      <c r="AI50" s="17"/>
      <c r="AJ50" s="16"/>
      <c r="AK50" s="16"/>
      <c r="AL50" s="218"/>
      <c r="AM50" s="16"/>
      <c r="AN50" s="9"/>
      <c r="AO50" s="16"/>
      <c r="AP50" s="45"/>
      <c r="AQ50" s="5"/>
      <c r="AR50" s="5"/>
      <c r="AS50" s="45"/>
      <c r="AT50" s="5"/>
      <c r="AU50" s="5"/>
      <c r="AV50" s="45"/>
      <c r="AW50" s="5"/>
      <c r="AX50" s="5"/>
      <c r="AY50" s="45"/>
      <c r="AZ50" s="16"/>
      <c r="BA50" s="16"/>
      <c r="BB50" s="17"/>
      <c r="BC50" s="16"/>
      <c r="BD50" s="16"/>
      <c r="BE50" s="218"/>
      <c r="BF50" s="16"/>
      <c r="BG50" s="9"/>
      <c r="BH50" s="16"/>
      <c r="BI50" s="45"/>
      <c r="BJ50" s="5"/>
      <c r="BK50" s="5"/>
      <c r="BL50" s="45"/>
      <c r="BM50" s="5"/>
      <c r="BN50" s="5"/>
      <c r="BO50" s="45"/>
      <c r="BP50" s="5"/>
      <c r="BQ50" s="5"/>
      <c r="BR50" s="45"/>
      <c r="BS50" s="16"/>
      <c r="BT50" s="16"/>
      <c r="BU50" s="17"/>
      <c r="BV50" s="16"/>
      <c r="BW50" s="16"/>
      <c r="BX50" s="218"/>
      <c r="BY50" s="16"/>
      <c r="BZ50" s="70"/>
      <c r="CA50" s="21"/>
      <c r="CB50" s="45"/>
      <c r="CC50" s="76"/>
      <c r="CD50" s="76"/>
      <c r="CE50" s="45"/>
      <c r="CF50" s="76"/>
      <c r="CG50" s="76"/>
      <c r="CH50" s="45"/>
      <c r="CI50" s="76"/>
      <c r="CJ50" s="76"/>
      <c r="CK50" s="45"/>
      <c r="CL50" s="21"/>
      <c r="CM50" s="21"/>
      <c r="CN50" s="17"/>
      <c r="CO50" s="16"/>
      <c r="CP50" s="16"/>
      <c r="CQ50" s="218"/>
      <c r="CR50" s="21"/>
      <c r="CS50" s="70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</row>
    <row r="51" spans="1:124" outlineLevel="1" x14ac:dyDescent="0.15">
      <c r="A51" s="235"/>
      <c r="B51" s="9"/>
      <c r="C51" s="18"/>
      <c r="D51" s="43">
        <v>0</v>
      </c>
      <c r="E51" s="5"/>
      <c r="F51" s="44"/>
      <c r="G51" s="43">
        <v>0</v>
      </c>
      <c r="H51" s="5"/>
      <c r="I51" s="44"/>
      <c r="J51" s="43">
        <v>0</v>
      </c>
      <c r="K51" s="5"/>
      <c r="L51" s="44"/>
      <c r="M51" s="43">
        <v>0</v>
      </c>
      <c r="N51" s="16"/>
      <c r="O51" s="18"/>
      <c r="P51" s="19">
        <f>SUM(D51:M51)</f>
        <v>0</v>
      </c>
      <c r="Q51" s="16"/>
      <c r="R51" s="18"/>
      <c r="S51" s="238"/>
      <c r="T51" s="16"/>
      <c r="U51" s="9"/>
      <c r="V51" s="18"/>
      <c r="W51" s="43">
        <v>0</v>
      </c>
      <c r="X51" s="5"/>
      <c r="Y51" s="44"/>
      <c r="Z51" s="43">
        <v>0</v>
      </c>
      <c r="AA51" s="5"/>
      <c r="AB51" s="44"/>
      <c r="AC51" s="43">
        <v>0</v>
      </c>
      <c r="AD51" s="5"/>
      <c r="AE51" s="44"/>
      <c r="AF51" s="43">
        <v>0</v>
      </c>
      <c r="AG51" s="16"/>
      <c r="AH51" s="18"/>
      <c r="AI51" s="19">
        <f>SUM(W51:AF51)</f>
        <v>0</v>
      </c>
      <c r="AJ51" s="16"/>
      <c r="AK51" s="18"/>
      <c r="AL51" s="238"/>
      <c r="AM51" s="16"/>
      <c r="AN51" s="9"/>
      <c r="AO51" s="18"/>
      <c r="AP51" s="43">
        <v>0</v>
      </c>
      <c r="AQ51" s="5"/>
      <c r="AR51" s="44"/>
      <c r="AS51" s="43">
        <v>0</v>
      </c>
      <c r="AT51" s="5"/>
      <c r="AU51" s="44"/>
      <c r="AV51" s="43">
        <v>0</v>
      </c>
      <c r="AW51" s="5"/>
      <c r="AX51" s="44"/>
      <c r="AY51" s="43">
        <v>0</v>
      </c>
      <c r="AZ51" s="16"/>
      <c r="BA51" s="18"/>
      <c r="BB51" s="19">
        <f>SUM(AP51:AY51)</f>
        <v>0</v>
      </c>
      <c r="BC51" s="16"/>
      <c r="BD51" s="18"/>
      <c r="BE51" s="238"/>
      <c r="BF51" s="16"/>
      <c r="BG51" s="9"/>
      <c r="BH51" s="18"/>
      <c r="BI51" s="43">
        <v>0</v>
      </c>
      <c r="BJ51" s="5"/>
      <c r="BK51" s="44"/>
      <c r="BL51" s="43">
        <v>0</v>
      </c>
      <c r="BM51" s="5"/>
      <c r="BN51" s="44"/>
      <c r="BO51" s="43">
        <v>0</v>
      </c>
      <c r="BP51" s="5"/>
      <c r="BQ51" s="44"/>
      <c r="BR51" s="43">
        <v>0</v>
      </c>
      <c r="BS51" s="16"/>
      <c r="BT51" s="18"/>
      <c r="BU51" s="19">
        <f>SUM(BI51:BR51)</f>
        <v>0</v>
      </c>
      <c r="BV51" s="16"/>
      <c r="BW51" s="18"/>
      <c r="BX51" s="238"/>
      <c r="BY51" s="16"/>
      <c r="BZ51" s="70"/>
      <c r="CA51" s="75"/>
      <c r="CB51" s="79">
        <f>+D51+W51+AP51+BI51</f>
        <v>0</v>
      </c>
      <c r="CC51" s="76"/>
      <c r="CD51" s="77"/>
      <c r="CE51" s="79">
        <f>+G51+Z51+AS51+BL51</f>
        <v>0</v>
      </c>
      <c r="CF51" s="76"/>
      <c r="CG51" s="77"/>
      <c r="CH51" s="79">
        <f>+J51+AC51+AV51+BO51</f>
        <v>0</v>
      </c>
      <c r="CI51" s="76"/>
      <c r="CJ51" s="77"/>
      <c r="CK51" s="79">
        <f>+M51+AF51+AY51+BR51</f>
        <v>0</v>
      </c>
      <c r="CL51" s="21"/>
      <c r="CM51" s="75"/>
      <c r="CN51" s="19">
        <f>SUM(CB51:CK51)</f>
        <v>0</v>
      </c>
      <c r="CO51" s="16"/>
      <c r="CP51" s="18"/>
      <c r="CQ51" s="238">
        <f>+S51+AL51+BE51+BX51</f>
        <v>0</v>
      </c>
      <c r="CR51" s="21"/>
      <c r="CS51" s="70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</row>
    <row r="52" spans="1:124" outlineLevel="1" x14ac:dyDescent="0.15">
      <c r="A52" s="230"/>
      <c r="B52" s="9"/>
      <c r="C52" s="16"/>
      <c r="D52" s="45"/>
      <c r="E52" s="5"/>
      <c r="F52" s="5"/>
      <c r="G52" s="45"/>
      <c r="H52" s="5"/>
      <c r="I52" s="5"/>
      <c r="J52" s="45"/>
      <c r="K52" s="5"/>
      <c r="L52" s="5"/>
      <c r="M52" s="45"/>
      <c r="N52" s="16"/>
      <c r="O52" s="16"/>
      <c r="P52" s="20"/>
      <c r="Q52" s="16"/>
      <c r="R52" s="16"/>
      <c r="S52" s="218"/>
      <c r="T52" s="16"/>
      <c r="U52" s="9"/>
      <c r="V52" s="16"/>
      <c r="W52" s="45"/>
      <c r="X52" s="5"/>
      <c r="Y52" s="5"/>
      <c r="Z52" s="45"/>
      <c r="AA52" s="5"/>
      <c r="AB52" s="5"/>
      <c r="AC52" s="45"/>
      <c r="AD52" s="5"/>
      <c r="AE52" s="5"/>
      <c r="AF52" s="45"/>
      <c r="AG52" s="16"/>
      <c r="AH52" s="16"/>
      <c r="AI52" s="20"/>
      <c r="AJ52" s="16"/>
      <c r="AK52" s="16"/>
      <c r="AL52" s="218"/>
      <c r="AM52" s="16"/>
      <c r="AN52" s="9"/>
      <c r="AO52" s="16"/>
      <c r="AP52" s="45"/>
      <c r="AQ52" s="5"/>
      <c r="AR52" s="5"/>
      <c r="AS52" s="45"/>
      <c r="AT52" s="5"/>
      <c r="AU52" s="5"/>
      <c r="AV52" s="45"/>
      <c r="AW52" s="5"/>
      <c r="AX52" s="5"/>
      <c r="AY52" s="45"/>
      <c r="AZ52" s="16"/>
      <c r="BA52" s="16"/>
      <c r="BB52" s="20"/>
      <c r="BC52" s="16"/>
      <c r="BD52" s="16"/>
      <c r="BE52" s="218"/>
      <c r="BF52" s="16"/>
      <c r="BG52" s="9"/>
      <c r="BH52" s="16"/>
      <c r="BI52" s="45"/>
      <c r="BJ52" s="5"/>
      <c r="BK52" s="5"/>
      <c r="BL52" s="45"/>
      <c r="BM52" s="5"/>
      <c r="BN52" s="5"/>
      <c r="BO52" s="45"/>
      <c r="BP52" s="5"/>
      <c r="BQ52" s="5"/>
      <c r="BR52" s="45"/>
      <c r="BS52" s="16"/>
      <c r="BT52" s="16"/>
      <c r="BU52" s="20"/>
      <c r="BV52" s="16"/>
      <c r="BW52" s="16"/>
      <c r="BX52" s="218"/>
      <c r="BY52" s="16"/>
      <c r="BZ52" s="70"/>
      <c r="CA52" s="21"/>
      <c r="CB52" s="45"/>
      <c r="CC52" s="76"/>
      <c r="CD52" s="76"/>
      <c r="CE52" s="45"/>
      <c r="CF52" s="76"/>
      <c r="CG52" s="76"/>
      <c r="CH52" s="45"/>
      <c r="CI52" s="76"/>
      <c r="CJ52" s="76"/>
      <c r="CK52" s="45"/>
      <c r="CL52" s="21"/>
      <c r="CM52" s="21"/>
      <c r="CN52" s="20"/>
      <c r="CO52" s="16"/>
      <c r="CP52" s="16"/>
      <c r="CQ52" s="218"/>
      <c r="CR52" s="21"/>
      <c r="CS52" s="70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</row>
    <row r="53" spans="1:124" outlineLevel="1" x14ac:dyDescent="0.15">
      <c r="A53" s="69"/>
      <c r="B53" s="9"/>
      <c r="C53" s="18"/>
      <c r="D53" s="43">
        <v>0</v>
      </c>
      <c r="E53" s="5"/>
      <c r="F53" s="44"/>
      <c r="G53" s="43">
        <v>0</v>
      </c>
      <c r="H53" s="5"/>
      <c r="I53" s="44"/>
      <c r="J53" s="43">
        <v>0</v>
      </c>
      <c r="K53" s="5"/>
      <c r="L53" s="44"/>
      <c r="M53" s="43">
        <v>0</v>
      </c>
      <c r="N53" s="16"/>
      <c r="O53" s="18"/>
      <c r="P53" s="19">
        <f>SUM(D53:M53)</f>
        <v>0</v>
      </c>
      <c r="Q53" s="16"/>
      <c r="R53" s="18"/>
      <c r="S53" s="238"/>
      <c r="T53" s="16"/>
      <c r="U53" s="9"/>
      <c r="V53" s="18"/>
      <c r="W53" s="43">
        <v>0</v>
      </c>
      <c r="X53" s="5"/>
      <c r="Y53" s="44"/>
      <c r="Z53" s="43">
        <v>0</v>
      </c>
      <c r="AA53" s="5"/>
      <c r="AB53" s="44"/>
      <c r="AC53" s="43">
        <v>0</v>
      </c>
      <c r="AD53" s="5"/>
      <c r="AE53" s="44"/>
      <c r="AF53" s="43">
        <v>0</v>
      </c>
      <c r="AG53" s="16"/>
      <c r="AH53" s="18"/>
      <c r="AI53" s="19">
        <f>SUM(W53:AF53)</f>
        <v>0</v>
      </c>
      <c r="AJ53" s="16"/>
      <c r="AK53" s="18"/>
      <c r="AL53" s="238"/>
      <c r="AM53" s="16"/>
      <c r="AN53" s="9"/>
      <c r="AO53" s="18"/>
      <c r="AP53" s="43">
        <v>0</v>
      </c>
      <c r="AQ53" s="5"/>
      <c r="AR53" s="44"/>
      <c r="AS53" s="43">
        <v>0</v>
      </c>
      <c r="AT53" s="5"/>
      <c r="AU53" s="44"/>
      <c r="AV53" s="43">
        <v>0</v>
      </c>
      <c r="AW53" s="5"/>
      <c r="AX53" s="44"/>
      <c r="AY53" s="43">
        <v>0</v>
      </c>
      <c r="AZ53" s="16"/>
      <c r="BA53" s="18"/>
      <c r="BB53" s="19">
        <f>SUM(AP53:AY53)</f>
        <v>0</v>
      </c>
      <c r="BC53" s="16"/>
      <c r="BD53" s="18"/>
      <c r="BE53" s="238"/>
      <c r="BF53" s="16"/>
      <c r="BG53" s="9"/>
      <c r="BH53" s="18"/>
      <c r="BI53" s="43">
        <v>0</v>
      </c>
      <c r="BJ53" s="5"/>
      <c r="BK53" s="44"/>
      <c r="BL53" s="43">
        <v>0</v>
      </c>
      <c r="BM53" s="5"/>
      <c r="BN53" s="44"/>
      <c r="BO53" s="43">
        <v>0</v>
      </c>
      <c r="BP53" s="5"/>
      <c r="BQ53" s="44"/>
      <c r="BR53" s="43">
        <v>0</v>
      </c>
      <c r="BS53" s="16"/>
      <c r="BT53" s="18"/>
      <c r="BU53" s="19">
        <f>SUM(BI53:BR53)</f>
        <v>0</v>
      </c>
      <c r="BV53" s="16"/>
      <c r="BW53" s="18"/>
      <c r="BX53" s="238"/>
      <c r="BY53" s="16"/>
      <c r="BZ53" s="70"/>
      <c r="CA53" s="75"/>
      <c r="CB53" s="79">
        <f>+D53+W53+AP53+BI53</f>
        <v>0</v>
      </c>
      <c r="CC53" s="76"/>
      <c r="CD53" s="77"/>
      <c r="CE53" s="79">
        <f>+G53+Z53+AS53+BL53</f>
        <v>0</v>
      </c>
      <c r="CF53" s="76"/>
      <c r="CG53" s="77"/>
      <c r="CH53" s="79">
        <f>+J53+AC53+AV53+BO53</f>
        <v>0</v>
      </c>
      <c r="CI53" s="76"/>
      <c r="CJ53" s="77"/>
      <c r="CK53" s="79">
        <f>+M53+AF53+AY53+BR53</f>
        <v>0</v>
      </c>
      <c r="CL53" s="21"/>
      <c r="CM53" s="75"/>
      <c r="CN53" s="19">
        <f>SUM(CB53:CK53)</f>
        <v>0</v>
      </c>
      <c r="CO53" s="16"/>
      <c r="CP53" s="18"/>
      <c r="CQ53" s="238">
        <f>+S53+AL53+BE53+BX53</f>
        <v>0</v>
      </c>
      <c r="CR53" s="21"/>
      <c r="CS53" s="70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</row>
    <row r="54" spans="1:124" outlineLevel="1" x14ac:dyDescent="0.15">
      <c r="A54" s="234"/>
      <c r="B54" s="9"/>
      <c r="C54" s="16"/>
      <c r="D54" s="46"/>
      <c r="E54" s="5"/>
      <c r="F54" s="5"/>
      <c r="G54" s="46"/>
      <c r="H54" s="5"/>
      <c r="I54" s="5"/>
      <c r="J54" s="46"/>
      <c r="K54" s="5"/>
      <c r="L54" s="5"/>
      <c r="M54" s="46"/>
      <c r="N54" s="16"/>
      <c r="O54" s="16"/>
      <c r="P54" s="17"/>
      <c r="Q54" s="16"/>
      <c r="R54" s="16"/>
      <c r="S54" s="218"/>
      <c r="T54" s="16"/>
      <c r="U54" s="9"/>
      <c r="V54" s="16"/>
      <c r="W54" s="46"/>
      <c r="X54" s="5"/>
      <c r="Y54" s="5"/>
      <c r="Z54" s="46"/>
      <c r="AA54" s="5"/>
      <c r="AB54" s="5"/>
      <c r="AC54" s="46"/>
      <c r="AD54" s="5"/>
      <c r="AE54" s="5"/>
      <c r="AF54" s="46"/>
      <c r="AG54" s="16"/>
      <c r="AH54" s="16"/>
      <c r="AI54" s="17"/>
      <c r="AJ54" s="16"/>
      <c r="AK54" s="16"/>
      <c r="AL54" s="218"/>
      <c r="AM54" s="16"/>
      <c r="AN54" s="9"/>
      <c r="AO54" s="16"/>
      <c r="AP54" s="46"/>
      <c r="AQ54" s="5"/>
      <c r="AR54" s="5"/>
      <c r="AS54" s="46"/>
      <c r="AT54" s="5"/>
      <c r="AU54" s="5"/>
      <c r="AV54" s="46"/>
      <c r="AW54" s="5"/>
      <c r="AX54" s="5"/>
      <c r="AY54" s="46"/>
      <c r="AZ54" s="16"/>
      <c r="BA54" s="16"/>
      <c r="BB54" s="17"/>
      <c r="BC54" s="16"/>
      <c r="BD54" s="16"/>
      <c r="BE54" s="218"/>
      <c r="BF54" s="16"/>
      <c r="BG54" s="9"/>
      <c r="BH54" s="16"/>
      <c r="BI54" s="46"/>
      <c r="BJ54" s="5"/>
      <c r="BK54" s="5"/>
      <c r="BL54" s="46"/>
      <c r="BM54" s="5"/>
      <c r="BN54" s="5"/>
      <c r="BO54" s="46"/>
      <c r="BP54" s="5"/>
      <c r="BQ54" s="5"/>
      <c r="BR54" s="46"/>
      <c r="BS54" s="16"/>
      <c r="BT54" s="16"/>
      <c r="BU54" s="17"/>
      <c r="BV54" s="16"/>
      <c r="BW54" s="16"/>
      <c r="BX54" s="218"/>
      <c r="BY54" s="16"/>
      <c r="BZ54" s="70"/>
      <c r="CA54" s="21"/>
      <c r="CB54" s="46"/>
      <c r="CC54" s="76"/>
      <c r="CD54" s="76"/>
      <c r="CE54" s="46"/>
      <c r="CF54" s="76"/>
      <c r="CG54" s="76"/>
      <c r="CH54" s="46"/>
      <c r="CI54" s="76"/>
      <c r="CJ54" s="76"/>
      <c r="CK54" s="46"/>
      <c r="CL54" s="21"/>
      <c r="CM54" s="21"/>
      <c r="CN54" s="17"/>
      <c r="CO54" s="16"/>
      <c r="CP54" s="16"/>
      <c r="CQ54" s="218"/>
      <c r="CR54" s="21"/>
      <c r="CS54" s="70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</row>
    <row r="55" spans="1:124" outlineLevel="1" x14ac:dyDescent="0.15">
      <c r="A55" s="235"/>
      <c r="B55" s="9"/>
      <c r="C55" s="18"/>
      <c r="D55" s="43">
        <v>0</v>
      </c>
      <c r="E55" s="5"/>
      <c r="F55" s="44"/>
      <c r="G55" s="43">
        <v>0</v>
      </c>
      <c r="H55" s="5"/>
      <c r="I55" s="44"/>
      <c r="J55" s="43">
        <v>0</v>
      </c>
      <c r="K55" s="5"/>
      <c r="L55" s="44"/>
      <c r="M55" s="43">
        <v>0</v>
      </c>
      <c r="N55" s="16"/>
      <c r="O55" s="18"/>
      <c r="P55" s="19">
        <f>SUM(D55:M55)</f>
        <v>0</v>
      </c>
      <c r="Q55" s="16"/>
      <c r="R55" s="18"/>
      <c r="S55" s="238"/>
      <c r="T55" s="16"/>
      <c r="U55" s="9"/>
      <c r="V55" s="18"/>
      <c r="W55" s="43">
        <v>0</v>
      </c>
      <c r="X55" s="5"/>
      <c r="Y55" s="44"/>
      <c r="Z55" s="43">
        <v>0</v>
      </c>
      <c r="AA55" s="5"/>
      <c r="AB55" s="44"/>
      <c r="AC55" s="43">
        <v>0</v>
      </c>
      <c r="AD55" s="5"/>
      <c r="AE55" s="44"/>
      <c r="AF55" s="43">
        <v>0</v>
      </c>
      <c r="AG55" s="16"/>
      <c r="AH55" s="18"/>
      <c r="AI55" s="19">
        <f>SUM(W55:AF55)</f>
        <v>0</v>
      </c>
      <c r="AJ55" s="16"/>
      <c r="AK55" s="18"/>
      <c r="AL55" s="238"/>
      <c r="AM55" s="16"/>
      <c r="AN55" s="9"/>
      <c r="AO55" s="18"/>
      <c r="AP55" s="43">
        <v>0</v>
      </c>
      <c r="AQ55" s="5"/>
      <c r="AR55" s="44"/>
      <c r="AS55" s="43">
        <v>0</v>
      </c>
      <c r="AT55" s="5"/>
      <c r="AU55" s="44"/>
      <c r="AV55" s="43">
        <v>0</v>
      </c>
      <c r="AW55" s="5"/>
      <c r="AX55" s="44"/>
      <c r="AY55" s="43">
        <v>0</v>
      </c>
      <c r="AZ55" s="16"/>
      <c r="BA55" s="18"/>
      <c r="BB55" s="19">
        <f>SUM(AP55:AY55)</f>
        <v>0</v>
      </c>
      <c r="BC55" s="16"/>
      <c r="BD55" s="18"/>
      <c r="BE55" s="238"/>
      <c r="BF55" s="16"/>
      <c r="BG55" s="9"/>
      <c r="BH55" s="18"/>
      <c r="BI55" s="43">
        <v>0</v>
      </c>
      <c r="BJ55" s="5"/>
      <c r="BK55" s="44"/>
      <c r="BL55" s="43">
        <v>0</v>
      </c>
      <c r="BM55" s="5"/>
      <c r="BN55" s="44"/>
      <c r="BO55" s="43">
        <v>0</v>
      </c>
      <c r="BP55" s="5"/>
      <c r="BQ55" s="44"/>
      <c r="BR55" s="43">
        <v>0</v>
      </c>
      <c r="BS55" s="16"/>
      <c r="BT55" s="18"/>
      <c r="BU55" s="19">
        <f>SUM(BI55:BR55)</f>
        <v>0</v>
      </c>
      <c r="BV55" s="16"/>
      <c r="BW55" s="18"/>
      <c r="BX55" s="238"/>
      <c r="BY55" s="16"/>
      <c r="BZ55" s="70"/>
      <c r="CA55" s="75"/>
      <c r="CB55" s="79">
        <f>+D55+W55+AP55+BI55</f>
        <v>0</v>
      </c>
      <c r="CC55" s="76"/>
      <c r="CD55" s="77"/>
      <c r="CE55" s="79">
        <f>+G55+Z55+AS55+BL55</f>
        <v>0</v>
      </c>
      <c r="CF55" s="76"/>
      <c r="CG55" s="77"/>
      <c r="CH55" s="79">
        <f>+J55+AC55+AV55+BO55</f>
        <v>0</v>
      </c>
      <c r="CI55" s="76"/>
      <c r="CJ55" s="77"/>
      <c r="CK55" s="79">
        <f>+M55+AF55+AY55+BR55</f>
        <v>0</v>
      </c>
      <c r="CL55" s="21"/>
      <c r="CM55" s="75"/>
      <c r="CN55" s="19">
        <f>SUM(CB55:CK55)</f>
        <v>0</v>
      </c>
      <c r="CO55" s="16"/>
      <c r="CP55" s="18"/>
      <c r="CQ55" s="238">
        <f>+S55+AL55+BE55+BX55</f>
        <v>0</v>
      </c>
      <c r="CR55" s="21"/>
      <c r="CS55" s="70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</row>
    <row r="56" spans="1:124" x14ac:dyDescent="0.15">
      <c r="A56" s="230"/>
      <c r="B56" s="9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21"/>
      <c r="Q56" s="16"/>
      <c r="R56" s="16"/>
      <c r="S56" s="21"/>
      <c r="T56" s="16"/>
      <c r="U56" s="9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21"/>
      <c r="AJ56" s="16"/>
      <c r="AK56" s="16"/>
      <c r="AL56" s="21"/>
      <c r="AM56" s="16"/>
      <c r="AN56" s="9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21"/>
      <c r="BC56" s="16"/>
      <c r="BD56" s="16"/>
      <c r="BE56" s="21"/>
      <c r="BF56" s="16"/>
      <c r="BG56" s="9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21"/>
      <c r="BV56" s="16"/>
      <c r="BW56" s="16"/>
      <c r="BX56" s="21"/>
      <c r="BY56" s="16"/>
      <c r="BZ56" s="70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16"/>
      <c r="CP56" s="16"/>
      <c r="CQ56" s="21"/>
      <c r="CR56" s="21"/>
      <c r="CS56" s="70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</row>
    <row r="57" spans="1:124" x14ac:dyDescent="0.15">
      <c r="A57" s="230"/>
      <c r="B57" s="9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9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9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9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70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16"/>
      <c r="CP57" s="16"/>
      <c r="CQ57" s="16"/>
      <c r="CR57" s="21"/>
      <c r="CS57" s="70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</row>
    <row r="58" spans="1:124" ht="16" x14ac:dyDescent="0.2">
      <c r="A58" s="233" t="s">
        <v>41</v>
      </c>
      <c r="B58" s="9"/>
      <c r="C58" s="10"/>
      <c r="D58" s="14">
        <f>SUM(D60:D79)</f>
        <v>165000</v>
      </c>
      <c r="E58" s="11"/>
      <c r="F58" s="12"/>
      <c r="G58" s="14">
        <f>SUM(G60:G79)</f>
        <v>150000</v>
      </c>
      <c r="H58" s="11"/>
      <c r="I58" s="12"/>
      <c r="J58" s="14">
        <f>SUM(J60:J79)</f>
        <v>150000</v>
      </c>
      <c r="K58" s="11"/>
      <c r="L58" s="12"/>
      <c r="M58" s="14">
        <f>SUM(M60:M79)</f>
        <v>150000</v>
      </c>
      <c r="N58" s="16"/>
      <c r="O58" s="12"/>
      <c r="P58" s="15">
        <f>SUM(P60:P79)</f>
        <v>615000</v>
      </c>
      <c r="Q58" s="16"/>
      <c r="R58" s="12"/>
      <c r="S58" s="211">
        <f>SUM(S60:S79)</f>
        <v>0</v>
      </c>
      <c r="T58" s="16"/>
      <c r="U58" s="9"/>
      <c r="V58" s="10"/>
      <c r="W58" s="14">
        <f>SUM(W60:W79)</f>
        <v>0</v>
      </c>
      <c r="X58" s="11"/>
      <c r="Y58" s="12"/>
      <c r="Z58" s="14">
        <f>SUM(Z60:Z79)</f>
        <v>0</v>
      </c>
      <c r="AA58" s="11"/>
      <c r="AB58" s="12"/>
      <c r="AC58" s="14">
        <f>SUM(AC60:AC79)</f>
        <v>0</v>
      </c>
      <c r="AD58" s="11"/>
      <c r="AE58" s="12"/>
      <c r="AF58" s="14">
        <f>SUM(AF60:AF79)</f>
        <v>0</v>
      </c>
      <c r="AG58" s="16"/>
      <c r="AH58" s="12"/>
      <c r="AI58" s="15">
        <f>SUM(AI60:AI79)</f>
        <v>0</v>
      </c>
      <c r="AJ58" s="16"/>
      <c r="AK58" s="12"/>
      <c r="AL58" s="211">
        <f>SUM(AL60:AL79)</f>
        <v>0</v>
      </c>
      <c r="AM58" s="16"/>
      <c r="AN58" s="9"/>
      <c r="AO58" s="10"/>
      <c r="AP58" s="14">
        <f>SUM(AP60:AP79)</f>
        <v>0</v>
      </c>
      <c r="AQ58" s="11"/>
      <c r="AR58" s="12"/>
      <c r="AS58" s="14">
        <f>SUM(AS60:AS79)</f>
        <v>0</v>
      </c>
      <c r="AT58" s="11"/>
      <c r="AU58" s="12"/>
      <c r="AV58" s="14">
        <f>SUM(AV60:AV79)</f>
        <v>0</v>
      </c>
      <c r="AW58" s="11"/>
      <c r="AX58" s="12"/>
      <c r="AY58" s="14">
        <f>SUM(AY60:AY79)</f>
        <v>0</v>
      </c>
      <c r="AZ58" s="16"/>
      <c r="BA58" s="12"/>
      <c r="BB58" s="15">
        <f>SUM(BB60:BB79)</f>
        <v>0</v>
      </c>
      <c r="BC58" s="16"/>
      <c r="BD58" s="12"/>
      <c r="BE58" s="211">
        <f>SUM(BE60:BE79)</f>
        <v>0</v>
      </c>
      <c r="BF58" s="16"/>
      <c r="BG58" s="9"/>
      <c r="BH58" s="10"/>
      <c r="BI58" s="14">
        <f>SUM(BI60:BI79)</f>
        <v>0</v>
      </c>
      <c r="BJ58" s="11"/>
      <c r="BK58" s="12"/>
      <c r="BL58" s="14">
        <f>SUM(BL60:BL79)</f>
        <v>0</v>
      </c>
      <c r="BM58" s="11"/>
      <c r="BN58" s="12"/>
      <c r="BO58" s="14">
        <f>SUM(BO60:BO79)</f>
        <v>0</v>
      </c>
      <c r="BP58" s="11"/>
      <c r="BQ58" s="12"/>
      <c r="BR58" s="14">
        <f>SUM(BR60:BR79)</f>
        <v>0</v>
      </c>
      <c r="BS58" s="16"/>
      <c r="BT58" s="12"/>
      <c r="BU58" s="15">
        <f>SUM(BU60:BU79)</f>
        <v>0</v>
      </c>
      <c r="BV58" s="16"/>
      <c r="BW58" s="12"/>
      <c r="BX58" s="211">
        <f>SUM(BX60:BX79)</f>
        <v>0</v>
      </c>
      <c r="BY58" s="16"/>
      <c r="BZ58" s="70"/>
      <c r="CA58" s="71"/>
      <c r="CB58" s="72">
        <f>SUM(CB60:CB79)</f>
        <v>165000</v>
      </c>
      <c r="CC58" s="73"/>
      <c r="CD58" s="74"/>
      <c r="CE58" s="72">
        <f>SUM(CE60:CE79)</f>
        <v>150000</v>
      </c>
      <c r="CF58" s="73"/>
      <c r="CG58" s="74"/>
      <c r="CH58" s="72">
        <f>SUM(CH60:CH79)</f>
        <v>150000</v>
      </c>
      <c r="CI58" s="73"/>
      <c r="CJ58" s="74"/>
      <c r="CK58" s="72">
        <f>SUM(CK60:CK79)</f>
        <v>150000</v>
      </c>
      <c r="CL58" s="21"/>
      <c r="CM58" s="74"/>
      <c r="CN58" s="15">
        <f>SUM(CN60:CN79)</f>
        <v>615000</v>
      </c>
      <c r="CO58" s="16"/>
      <c r="CP58" s="12"/>
      <c r="CQ58" s="211">
        <f>SUM(CQ60:CQ79)</f>
        <v>0</v>
      </c>
      <c r="CR58" s="21"/>
      <c r="CS58" s="70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</row>
    <row r="59" spans="1:124" outlineLevel="1" x14ac:dyDescent="0.15">
      <c r="A59" s="234"/>
      <c r="B59" s="9"/>
      <c r="C59" s="16"/>
      <c r="D59" s="17"/>
      <c r="E59" s="16"/>
      <c r="F59" s="16"/>
      <c r="G59" s="17"/>
      <c r="H59" s="16"/>
      <c r="I59" s="16"/>
      <c r="J59" s="17"/>
      <c r="K59" s="16"/>
      <c r="L59" s="16"/>
      <c r="M59" s="17"/>
      <c r="N59" s="16"/>
      <c r="O59" s="16"/>
      <c r="P59" s="17"/>
      <c r="Q59" s="16"/>
      <c r="R59" s="16"/>
      <c r="S59" s="17"/>
      <c r="T59" s="16"/>
      <c r="U59" s="9"/>
      <c r="V59" s="16"/>
      <c r="W59" s="17"/>
      <c r="X59" s="16"/>
      <c r="Y59" s="16"/>
      <c r="Z59" s="17"/>
      <c r="AA59" s="16"/>
      <c r="AB59" s="16"/>
      <c r="AC59" s="17"/>
      <c r="AD59" s="16"/>
      <c r="AE59" s="16"/>
      <c r="AF59" s="17"/>
      <c r="AG59" s="16"/>
      <c r="AH59" s="16"/>
      <c r="AI59" s="17"/>
      <c r="AJ59" s="16"/>
      <c r="AK59" s="16"/>
      <c r="AL59" s="17"/>
      <c r="AM59" s="16"/>
      <c r="AN59" s="9"/>
      <c r="AO59" s="16"/>
      <c r="AP59" s="17"/>
      <c r="AQ59" s="16"/>
      <c r="AR59" s="16"/>
      <c r="AS59" s="17"/>
      <c r="AT59" s="16"/>
      <c r="AU59" s="16"/>
      <c r="AV59" s="17"/>
      <c r="AW59" s="16"/>
      <c r="AX59" s="16"/>
      <c r="AY59" s="17"/>
      <c r="AZ59" s="16"/>
      <c r="BA59" s="16"/>
      <c r="BB59" s="17"/>
      <c r="BC59" s="16"/>
      <c r="BD59" s="16"/>
      <c r="BE59" s="17"/>
      <c r="BF59" s="16"/>
      <c r="BG59" s="9"/>
      <c r="BH59" s="16"/>
      <c r="BI59" s="17"/>
      <c r="BJ59" s="16"/>
      <c r="BK59" s="16"/>
      <c r="BL59" s="17"/>
      <c r="BM59" s="16"/>
      <c r="BN59" s="16"/>
      <c r="BO59" s="17"/>
      <c r="BP59" s="16"/>
      <c r="BQ59" s="16"/>
      <c r="BR59" s="17"/>
      <c r="BS59" s="16"/>
      <c r="BT59" s="16"/>
      <c r="BU59" s="17"/>
      <c r="BV59" s="16"/>
      <c r="BW59" s="16"/>
      <c r="BX59" s="17"/>
      <c r="BY59" s="16"/>
      <c r="BZ59" s="70"/>
      <c r="CA59" s="21"/>
      <c r="CB59" s="17"/>
      <c r="CC59" s="21"/>
      <c r="CD59" s="21"/>
      <c r="CE59" s="17"/>
      <c r="CF59" s="21"/>
      <c r="CG59" s="21"/>
      <c r="CH59" s="17"/>
      <c r="CI59" s="21"/>
      <c r="CJ59" s="21"/>
      <c r="CK59" s="17"/>
      <c r="CL59" s="21"/>
      <c r="CM59" s="21"/>
      <c r="CN59" s="17"/>
      <c r="CO59" s="16"/>
      <c r="CP59" s="16"/>
      <c r="CQ59" s="17"/>
      <c r="CR59" s="21"/>
      <c r="CS59" s="70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</row>
    <row r="60" spans="1:124" outlineLevel="1" x14ac:dyDescent="0.15">
      <c r="A60" s="242"/>
      <c r="B60" s="9"/>
      <c r="C60" s="18"/>
      <c r="D60" s="43">
        <v>0</v>
      </c>
      <c r="E60" s="5"/>
      <c r="F60" s="44"/>
      <c r="G60" s="43">
        <v>0</v>
      </c>
      <c r="H60" s="5"/>
      <c r="I60" s="44"/>
      <c r="J60" s="43">
        <v>0</v>
      </c>
      <c r="K60" s="5"/>
      <c r="L60" s="44"/>
      <c r="M60" s="43">
        <v>0</v>
      </c>
      <c r="N60" s="16"/>
      <c r="O60" s="18"/>
      <c r="P60" s="19">
        <f>SUM(D60:M60)</f>
        <v>0</v>
      </c>
      <c r="Q60" s="16"/>
      <c r="R60" s="18"/>
      <c r="S60" s="238"/>
      <c r="T60" s="16"/>
      <c r="U60" s="9"/>
      <c r="V60" s="18"/>
      <c r="W60" s="43">
        <v>0</v>
      </c>
      <c r="X60" s="5"/>
      <c r="Y60" s="44"/>
      <c r="Z60" s="43">
        <v>0</v>
      </c>
      <c r="AA60" s="5"/>
      <c r="AB60" s="44"/>
      <c r="AC60" s="43">
        <v>0</v>
      </c>
      <c r="AD60" s="5"/>
      <c r="AE60" s="44"/>
      <c r="AF60" s="43">
        <v>0</v>
      </c>
      <c r="AG60" s="16"/>
      <c r="AH60" s="18"/>
      <c r="AI60" s="19">
        <f>SUM(W60:AF60)</f>
        <v>0</v>
      </c>
      <c r="AJ60" s="16"/>
      <c r="AK60" s="18"/>
      <c r="AL60" s="238"/>
      <c r="AM60" s="16"/>
      <c r="AN60" s="9"/>
      <c r="AO60" s="18"/>
      <c r="AP60" s="43">
        <v>0</v>
      </c>
      <c r="AQ60" s="5"/>
      <c r="AR60" s="44"/>
      <c r="AS60" s="43">
        <v>0</v>
      </c>
      <c r="AT60" s="5"/>
      <c r="AU60" s="44"/>
      <c r="AV60" s="43">
        <v>0</v>
      </c>
      <c r="AW60" s="5"/>
      <c r="AX60" s="44"/>
      <c r="AY60" s="43">
        <v>0</v>
      </c>
      <c r="AZ60" s="16"/>
      <c r="BA60" s="18"/>
      <c r="BB60" s="19">
        <f>SUM(AP60:AY60)</f>
        <v>0</v>
      </c>
      <c r="BC60" s="16"/>
      <c r="BD60" s="18"/>
      <c r="BE60" s="238"/>
      <c r="BF60" s="16"/>
      <c r="BG60" s="9"/>
      <c r="BH60" s="18"/>
      <c r="BI60" s="43">
        <v>0</v>
      </c>
      <c r="BJ60" s="5"/>
      <c r="BK60" s="44"/>
      <c r="BL60" s="43">
        <v>0</v>
      </c>
      <c r="BM60" s="5"/>
      <c r="BN60" s="44"/>
      <c r="BO60" s="43">
        <v>0</v>
      </c>
      <c r="BP60" s="5"/>
      <c r="BQ60" s="44"/>
      <c r="BR60" s="43">
        <v>0</v>
      </c>
      <c r="BS60" s="16"/>
      <c r="BT60" s="18"/>
      <c r="BU60" s="19">
        <f>SUM(BI60:BR60)</f>
        <v>0</v>
      </c>
      <c r="BV60" s="16"/>
      <c r="BW60" s="18"/>
      <c r="BX60" s="238"/>
      <c r="BY60" s="16"/>
      <c r="BZ60" s="70"/>
      <c r="CA60" s="75"/>
      <c r="CB60" s="79">
        <f>+D60+W60+AP60+BI60</f>
        <v>0</v>
      </c>
      <c r="CC60" s="76"/>
      <c r="CD60" s="77"/>
      <c r="CE60" s="79">
        <f>+G60+Z60+AS60+BL60</f>
        <v>0</v>
      </c>
      <c r="CF60" s="76"/>
      <c r="CG60" s="77"/>
      <c r="CH60" s="79">
        <f>+J60+AC60+AV60+BO60</f>
        <v>0</v>
      </c>
      <c r="CI60" s="76"/>
      <c r="CJ60" s="77"/>
      <c r="CK60" s="79">
        <f>+M60+AF60+AY60+BR60</f>
        <v>0</v>
      </c>
      <c r="CL60" s="21"/>
      <c r="CM60" s="75"/>
      <c r="CN60" s="19">
        <f>SUM(CB60:CK60)</f>
        <v>0</v>
      </c>
      <c r="CO60" s="16"/>
      <c r="CP60" s="18"/>
      <c r="CQ60" s="238">
        <f>+S60+AL60+BE60+BX60</f>
        <v>0</v>
      </c>
      <c r="CR60" s="21"/>
      <c r="CS60" s="70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</row>
    <row r="61" spans="1:124" outlineLevel="1" x14ac:dyDescent="0.15">
      <c r="A61" s="230"/>
      <c r="B61" s="9"/>
      <c r="C61" s="16"/>
      <c r="D61" s="45"/>
      <c r="E61" s="5"/>
      <c r="F61" s="5"/>
      <c r="G61" s="45"/>
      <c r="H61" s="5"/>
      <c r="I61" s="5"/>
      <c r="J61" s="45"/>
      <c r="K61" s="5"/>
      <c r="L61" s="5"/>
      <c r="M61" s="45"/>
      <c r="N61" s="16"/>
      <c r="O61" s="16"/>
      <c r="P61" s="20"/>
      <c r="Q61" s="16"/>
      <c r="R61" s="16"/>
      <c r="S61" s="218"/>
      <c r="T61" s="16"/>
      <c r="U61" s="9"/>
      <c r="V61" s="16"/>
      <c r="W61" s="45"/>
      <c r="X61" s="5"/>
      <c r="Y61" s="5"/>
      <c r="Z61" s="45"/>
      <c r="AA61" s="5"/>
      <c r="AB61" s="5"/>
      <c r="AC61" s="45"/>
      <c r="AD61" s="5"/>
      <c r="AE61" s="5"/>
      <c r="AF61" s="45"/>
      <c r="AG61" s="16"/>
      <c r="AH61" s="16"/>
      <c r="AI61" s="20"/>
      <c r="AJ61" s="16"/>
      <c r="AK61" s="16"/>
      <c r="AL61" s="218"/>
      <c r="AM61" s="16"/>
      <c r="AN61" s="9"/>
      <c r="AO61" s="16"/>
      <c r="AP61" s="45"/>
      <c r="AQ61" s="5"/>
      <c r="AR61" s="5"/>
      <c r="AS61" s="45"/>
      <c r="AT61" s="5"/>
      <c r="AU61" s="5"/>
      <c r="AV61" s="45"/>
      <c r="AW61" s="5"/>
      <c r="AX61" s="5"/>
      <c r="AY61" s="45"/>
      <c r="AZ61" s="16"/>
      <c r="BA61" s="16"/>
      <c r="BB61" s="20"/>
      <c r="BC61" s="16"/>
      <c r="BD61" s="16"/>
      <c r="BE61" s="218"/>
      <c r="BF61" s="16"/>
      <c r="BG61" s="9"/>
      <c r="BH61" s="16"/>
      <c r="BI61" s="45"/>
      <c r="BJ61" s="5"/>
      <c r="BK61" s="5"/>
      <c r="BL61" s="45"/>
      <c r="BM61" s="5"/>
      <c r="BN61" s="5"/>
      <c r="BO61" s="45"/>
      <c r="BP61" s="5"/>
      <c r="BQ61" s="5"/>
      <c r="BR61" s="45"/>
      <c r="BS61" s="16"/>
      <c r="BT61" s="16"/>
      <c r="BU61" s="20"/>
      <c r="BV61" s="16"/>
      <c r="BW61" s="16"/>
      <c r="BX61" s="218"/>
      <c r="BY61" s="16"/>
      <c r="BZ61" s="70"/>
      <c r="CA61" s="21"/>
      <c r="CB61" s="45"/>
      <c r="CC61" s="76"/>
      <c r="CD61" s="76"/>
      <c r="CE61" s="45"/>
      <c r="CF61" s="76"/>
      <c r="CG61" s="76"/>
      <c r="CH61" s="45"/>
      <c r="CI61" s="76"/>
      <c r="CJ61" s="76"/>
      <c r="CK61" s="45"/>
      <c r="CL61" s="21"/>
      <c r="CM61" s="21"/>
      <c r="CN61" s="20"/>
      <c r="CO61" s="16"/>
      <c r="CP61" s="16"/>
      <c r="CQ61" s="218"/>
      <c r="CR61" s="21"/>
      <c r="CS61" s="70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</row>
    <row r="62" spans="1:124" outlineLevel="1" x14ac:dyDescent="0.15">
      <c r="A62" s="242"/>
      <c r="B62" s="9"/>
      <c r="C62" s="18"/>
      <c r="D62" s="43">
        <v>0</v>
      </c>
      <c r="E62" s="5"/>
      <c r="F62" s="44"/>
      <c r="G62" s="43">
        <v>0</v>
      </c>
      <c r="H62" s="5"/>
      <c r="I62" s="44"/>
      <c r="J62" s="43">
        <v>0</v>
      </c>
      <c r="K62" s="5"/>
      <c r="L62" s="44"/>
      <c r="M62" s="43">
        <v>0</v>
      </c>
      <c r="N62" s="16"/>
      <c r="O62" s="18"/>
      <c r="P62" s="19">
        <f>SUM(D62:M62)</f>
        <v>0</v>
      </c>
      <c r="Q62" s="16"/>
      <c r="R62" s="18"/>
      <c r="S62" s="238"/>
      <c r="T62" s="16"/>
      <c r="U62" s="9"/>
      <c r="V62" s="18"/>
      <c r="W62" s="43">
        <v>0</v>
      </c>
      <c r="X62" s="5"/>
      <c r="Y62" s="44"/>
      <c r="Z62" s="43">
        <v>0</v>
      </c>
      <c r="AA62" s="5"/>
      <c r="AB62" s="44"/>
      <c r="AC62" s="43">
        <v>0</v>
      </c>
      <c r="AD62" s="5"/>
      <c r="AE62" s="44"/>
      <c r="AF62" s="43">
        <v>0</v>
      </c>
      <c r="AG62" s="16"/>
      <c r="AH62" s="18"/>
      <c r="AI62" s="19">
        <f>SUM(W62:AF62)</f>
        <v>0</v>
      </c>
      <c r="AJ62" s="16"/>
      <c r="AK62" s="18"/>
      <c r="AL62" s="238"/>
      <c r="AM62" s="16"/>
      <c r="AN62" s="9"/>
      <c r="AO62" s="18"/>
      <c r="AP62" s="43">
        <v>0</v>
      </c>
      <c r="AQ62" s="5"/>
      <c r="AR62" s="44"/>
      <c r="AS62" s="43">
        <v>0</v>
      </c>
      <c r="AT62" s="5"/>
      <c r="AU62" s="44"/>
      <c r="AV62" s="43">
        <v>0</v>
      </c>
      <c r="AW62" s="5"/>
      <c r="AX62" s="44"/>
      <c r="AY62" s="43">
        <v>0</v>
      </c>
      <c r="AZ62" s="16"/>
      <c r="BA62" s="18"/>
      <c r="BB62" s="19">
        <f>SUM(AP62:AY62)</f>
        <v>0</v>
      </c>
      <c r="BC62" s="16"/>
      <c r="BD62" s="18"/>
      <c r="BE62" s="238"/>
      <c r="BF62" s="16"/>
      <c r="BG62" s="9"/>
      <c r="BH62" s="18"/>
      <c r="BI62" s="43">
        <v>0</v>
      </c>
      <c r="BJ62" s="5"/>
      <c r="BK62" s="44"/>
      <c r="BL62" s="43">
        <v>0</v>
      </c>
      <c r="BM62" s="5"/>
      <c r="BN62" s="44"/>
      <c r="BO62" s="43">
        <v>0</v>
      </c>
      <c r="BP62" s="5"/>
      <c r="BQ62" s="44"/>
      <c r="BR62" s="43">
        <v>0</v>
      </c>
      <c r="BS62" s="16"/>
      <c r="BT62" s="18"/>
      <c r="BU62" s="19">
        <f>SUM(BI62:BR62)</f>
        <v>0</v>
      </c>
      <c r="BV62" s="16"/>
      <c r="BW62" s="18"/>
      <c r="BX62" s="238"/>
      <c r="BY62" s="16"/>
      <c r="BZ62" s="70"/>
      <c r="CA62" s="75"/>
      <c r="CB62" s="79">
        <f>+D62+W62+AP62+BI62</f>
        <v>0</v>
      </c>
      <c r="CC62" s="76"/>
      <c r="CD62" s="77"/>
      <c r="CE62" s="79">
        <f>+G62+Z62+AS62+BL62</f>
        <v>0</v>
      </c>
      <c r="CF62" s="76"/>
      <c r="CG62" s="77"/>
      <c r="CH62" s="79">
        <f>+J62+AC62+AV62+BO62</f>
        <v>0</v>
      </c>
      <c r="CI62" s="76"/>
      <c r="CJ62" s="77"/>
      <c r="CK62" s="79">
        <f>+M62+AF62+AY62+BR62</f>
        <v>0</v>
      </c>
      <c r="CL62" s="21"/>
      <c r="CM62" s="75"/>
      <c r="CN62" s="19">
        <f>SUM(CB62:CK62)</f>
        <v>0</v>
      </c>
      <c r="CO62" s="16"/>
      <c r="CP62" s="18"/>
      <c r="CQ62" s="238">
        <f>+S62+AL62+BE62+BX62</f>
        <v>0</v>
      </c>
      <c r="CR62" s="21"/>
      <c r="CS62" s="70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</row>
    <row r="63" spans="1:124" outlineLevel="1" x14ac:dyDescent="0.15">
      <c r="A63" s="234"/>
      <c r="B63" s="9"/>
      <c r="C63" s="16"/>
      <c r="D63" s="46"/>
      <c r="E63" s="5"/>
      <c r="F63" s="5"/>
      <c r="G63" s="46"/>
      <c r="H63" s="5"/>
      <c r="I63" s="5"/>
      <c r="J63" s="46"/>
      <c r="K63" s="5"/>
      <c r="L63" s="5"/>
      <c r="M63" s="46"/>
      <c r="N63" s="16"/>
      <c r="O63" s="16"/>
      <c r="P63" s="17"/>
      <c r="Q63" s="16"/>
      <c r="R63" s="16"/>
      <c r="S63" s="219"/>
      <c r="T63" s="16"/>
      <c r="U63" s="9"/>
      <c r="V63" s="16"/>
      <c r="W63" s="46"/>
      <c r="X63" s="5"/>
      <c r="Y63" s="5"/>
      <c r="Z63" s="46"/>
      <c r="AA63" s="5"/>
      <c r="AB63" s="5"/>
      <c r="AC63" s="46"/>
      <c r="AD63" s="5"/>
      <c r="AE63" s="5"/>
      <c r="AF63" s="46"/>
      <c r="AG63" s="16"/>
      <c r="AH63" s="16"/>
      <c r="AI63" s="17"/>
      <c r="AJ63" s="16"/>
      <c r="AK63" s="16"/>
      <c r="AL63" s="219"/>
      <c r="AM63" s="16"/>
      <c r="AN63" s="9"/>
      <c r="AO63" s="16"/>
      <c r="AP63" s="46"/>
      <c r="AQ63" s="5"/>
      <c r="AR63" s="5"/>
      <c r="AS63" s="46"/>
      <c r="AT63" s="5"/>
      <c r="AU63" s="5"/>
      <c r="AV63" s="46"/>
      <c r="AW63" s="5"/>
      <c r="AX63" s="5"/>
      <c r="AY63" s="46"/>
      <c r="AZ63" s="16"/>
      <c r="BA63" s="16"/>
      <c r="BB63" s="17"/>
      <c r="BC63" s="16"/>
      <c r="BD63" s="16"/>
      <c r="BE63" s="219"/>
      <c r="BF63" s="16"/>
      <c r="BG63" s="9"/>
      <c r="BH63" s="16"/>
      <c r="BI63" s="46"/>
      <c r="BJ63" s="5"/>
      <c r="BK63" s="5"/>
      <c r="BL63" s="46"/>
      <c r="BM63" s="5"/>
      <c r="BN63" s="5"/>
      <c r="BO63" s="46"/>
      <c r="BP63" s="5"/>
      <c r="BQ63" s="5"/>
      <c r="BR63" s="46"/>
      <c r="BS63" s="16"/>
      <c r="BT63" s="16"/>
      <c r="BU63" s="17"/>
      <c r="BV63" s="16"/>
      <c r="BW63" s="16"/>
      <c r="BX63" s="219"/>
      <c r="BY63" s="16"/>
      <c r="BZ63" s="70"/>
      <c r="CA63" s="21"/>
      <c r="CB63" s="46"/>
      <c r="CC63" s="76"/>
      <c r="CD63" s="76"/>
      <c r="CE63" s="46"/>
      <c r="CF63" s="76"/>
      <c r="CG63" s="76"/>
      <c r="CH63" s="46"/>
      <c r="CI63" s="76"/>
      <c r="CJ63" s="76"/>
      <c r="CK63" s="46"/>
      <c r="CL63" s="21"/>
      <c r="CM63" s="21"/>
      <c r="CN63" s="17"/>
      <c r="CO63" s="16"/>
      <c r="CP63" s="16"/>
      <c r="CQ63" s="219"/>
      <c r="CR63" s="21"/>
      <c r="CS63" s="70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</row>
    <row r="64" spans="1:124" outlineLevel="1" x14ac:dyDescent="0.15">
      <c r="A64" s="242" t="s">
        <v>91</v>
      </c>
      <c r="B64" s="9"/>
      <c r="C64" s="18"/>
      <c r="D64" s="43">
        <v>15000</v>
      </c>
      <c r="E64" s="5"/>
      <c r="F64" s="44"/>
      <c r="G64" s="43">
        <v>0</v>
      </c>
      <c r="H64" s="5"/>
      <c r="I64" s="44"/>
      <c r="J64" s="43">
        <v>0</v>
      </c>
      <c r="K64" s="5"/>
      <c r="L64" s="44"/>
      <c r="M64" s="43">
        <v>0</v>
      </c>
      <c r="N64" s="16"/>
      <c r="O64" s="18"/>
      <c r="P64" s="19">
        <f>SUM(D64:M64)</f>
        <v>15000</v>
      </c>
      <c r="Q64" s="16"/>
      <c r="R64" s="18"/>
      <c r="S64" s="238"/>
      <c r="T64" s="16"/>
      <c r="U64" s="9"/>
      <c r="V64" s="18"/>
      <c r="W64" s="43">
        <v>0</v>
      </c>
      <c r="X64" s="5"/>
      <c r="Y64" s="44"/>
      <c r="Z64" s="43">
        <v>0</v>
      </c>
      <c r="AA64" s="5"/>
      <c r="AB64" s="44"/>
      <c r="AC64" s="43">
        <v>0</v>
      </c>
      <c r="AD64" s="5"/>
      <c r="AE64" s="44"/>
      <c r="AF64" s="43">
        <v>0</v>
      </c>
      <c r="AG64" s="16"/>
      <c r="AH64" s="18"/>
      <c r="AI64" s="19">
        <f>SUM(W64:AF64)</f>
        <v>0</v>
      </c>
      <c r="AJ64" s="16"/>
      <c r="AK64" s="18"/>
      <c r="AL64" s="238"/>
      <c r="AM64" s="16"/>
      <c r="AN64" s="9"/>
      <c r="AO64" s="18"/>
      <c r="AP64" s="43">
        <v>0</v>
      </c>
      <c r="AQ64" s="5"/>
      <c r="AR64" s="44"/>
      <c r="AS64" s="43">
        <v>0</v>
      </c>
      <c r="AT64" s="5"/>
      <c r="AU64" s="44"/>
      <c r="AV64" s="43">
        <v>0</v>
      </c>
      <c r="AW64" s="5"/>
      <c r="AX64" s="44"/>
      <c r="AY64" s="43">
        <v>0</v>
      </c>
      <c r="AZ64" s="16"/>
      <c r="BA64" s="18"/>
      <c r="BB64" s="19">
        <f>SUM(AP64:AY64)</f>
        <v>0</v>
      </c>
      <c r="BC64" s="16"/>
      <c r="BD64" s="18"/>
      <c r="BE64" s="238"/>
      <c r="BF64" s="16"/>
      <c r="BG64" s="9"/>
      <c r="BH64" s="18"/>
      <c r="BI64" s="43">
        <v>0</v>
      </c>
      <c r="BJ64" s="5"/>
      <c r="BK64" s="44"/>
      <c r="BL64" s="43">
        <v>0</v>
      </c>
      <c r="BM64" s="5"/>
      <c r="BN64" s="44"/>
      <c r="BO64" s="43">
        <v>0</v>
      </c>
      <c r="BP64" s="5"/>
      <c r="BQ64" s="44"/>
      <c r="BR64" s="43">
        <v>0</v>
      </c>
      <c r="BS64" s="16"/>
      <c r="BT64" s="18"/>
      <c r="BU64" s="19">
        <f>SUM(BI64:BR64)</f>
        <v>0</v>
      </c>
      <c r="BV64" s="16"/>
      <c r="BW64" s="18"/>
      <c r="BX64" s="238"/>
      <c r="BY64" s="16"/>
      <c r="BZ64" s="70"/>
      <c r="CA64" s="75"/>
      <c r="CB64" s="79">
        <f>+D64+W64+AP64+BI64</f>
        <v>15000</v>
      </c>
      <c r="CC64" s="76"/>
      <c r="CD64" s="77"/>
      <c r="CE64" s="79">
        <f>+G64+Z64+AS64+BL64</f>
        <v>0</v>
      </c>
      <c r="CF64" s="76"/>
      <c r="CG64" s="77"/>
      <c r="CH64" s="79">
        <f>+J64+AC64+AV64+BO64</f>
        <v>0</v>
      </c>
      <c r="CI64" s="76"/>
      <c r="CJ64" s="77"/>
      <c r="CK64" s="79">
        <f>+M64+AF64+AY64+BR64</f>
        <v>0</v>
      </c>
      <c r="CL64" s="21"/>
      <c r="CM64" s="75"/>
      <c r="CN64" s="19">
        <f>SUM(CB64:CK64)</f>
        <v>15000</v>
      </c>
      <c r="CO64" s="16"/>
      <c r="CP64" s="18"/>
      <c r="CQ64" s="238">
        <f>+S64+AL64+BE64+BX64</f>
        <v>0</v>
      </c>
      <c r="CR64" s="21"/>
      <c r="CS64" s="70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</row>
    <row r="65" spans="1:124" outlineLevel="1" x14ac:dyDescent="0.15">
      <c r="A65" s="234"/>
      <c r="B65" s="9"/>
      <c r="C65" s="16"/>
      <c r="D65" s="45"/>
      <c r="E65" s="5"/>
      <c r="F65" s="5"/>
      <c r="G65" s="45"/>
      <c r="H65" s="5"/>
      <c r="I65" s="5"/>
      <c r="J65" s="45"/>
      <c r="K65" s="5"/>
      <c r="L65" s="5"/>
      <c r="M65" s="45"/>
      <c r="N65" s="16"/>
      <c r="O65" s="16"/>
      <c r="P65" s="17"/>
      <c r="Q65" s="16"/>
      <c r="R65" s="16"/>
      <c r="S65" s="218"/>
      <c r="T65" s="16"/>
      <c r="U65" s="9"/>
      <c r="V65" s="16"/>
      <c r="W65" s="45"/>
      <c r="X65" s="5"/>
      <c r="Y65" s="5"/>
      <c r="Z65" s="45"/>
      <c r="AA65" s="5"/>
      <c r="AB65" s="5"/>
      <c r="AC65" s="45"/>
      <c r="AD65" s="5"/>
      <c r="AE65" s="5"/>
      <c r="AF65" s="45"/>
      <c r="AG65" s="16"/>
      <c r="AH65" s="16"/>
      <c r="AI65" s="17"/>
      <c r="AJ65" s="16"/>
      <c r="AK65" s="16"/>
      <c r="AL65" s="218"/>
      <c r="AM65" s="16"/>
      <c r="AN65" s="9"/>
      <c r="AO65" s="16"/>
      <c r="AP65" s="45"/>
      <c r="AQ65" s="5"/>
      <c r="AR65" s="5"/>
      <c r="AS65" s="45"/>
      <c r="AT65" s="5"/>
      <c r="AU65" s="5"/>
      <c r="AV65" s="45"/>
      <c r="AW65" s="5"/>
      <c r="AX65" s="5"/>
      <c r="AY65" s="45"/>
      <c r="AZ65" s="16"/>
      <c r="BA65" s="16"/>
      <c r="BB65" s="17"/>
      <c r="BC65" s="16"/>
      <c r="BD65" s="16"/>
      <c r="BE65" s="218"/>
      <c r="BF65" s="16"/>
      <c r="BG65" s="9"/>
      <c r="BH65" s="16"/>
      <c r="BI65" s="45"/>
      <c r="BJ65" s="5"/>
      <c r="BK65" s="5"/>
      <c r="BL65" s="45"/>
      <c r="BM65" s="5"/>
      <c r="BN65" s="5"/>
      <c r="BO65" s="45"/>
      <c r="BP65" s="5"/>
      <c r="BQ65" s="5"/>
      <c r="BR65" s="45"/>
      <c r="BS65" s="16"/>
      <c r="BT65" s="16"/>
      <c r="BU65" s="17"/>
      <c r="BV65" s="16"/>
      <c r="BW65" s="16"/>
      <c r="BX65" s="218"/>
      <c r="BY65" s="16"/>
      <c r="BZ65" s="70"/>
      <c r="CA65" s="21"/>
      <c r="CB65" s="45"/>
      <c r="CC65" s="76"/>
      <c r="CD65" s="76"/>
      <c r="CE65" s="45"/>
      <c r="CF65" s="76"/>
      <c r="CG65" s="76"/>
      <c r="CH65" s="45"/>
      <c r="CI65" s="76"/>
      <c r="CJ65" s="76"/>
      <c r="CK65" s="45"/>
      <c r="CL65" s="21"/>
      <c r="CM65" s="21"/>
      <c r="CN65" s="17"/>
      <c r="CO65" s="16"/>
      <c r="CP65" s="16"/>
      <c r="CQ65" s="218"/>
      <c r="CR65" s="21"/>
      <c r="CS65" s="70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</row>
    <row r="66" spans="1:124" outlineLevel="1" x14ac:dyDescent="0.15">
      <c r="A66" s="235" t="s">
        <v>98</v>
      </c>
      <c r="B66" s="9"/>
      <c r="C66" s="18"/>
      <c r="D66" s="43">
        <v>150000</v>
      </c>
      <c r="E66" s="5"/>
      <c r="F66" s="44"/>
      <c r="G66" s="43">
        <v>150000</v>
      </c>
      <c r="H66" s="5"/>
      <c r="I66" s="44"/>
      <c r="J66" s="43">
        <v>150000</v>
      </c>
      <c r="K66" s="5"/>
      <c r="L66" s="44"/>
      <c r="M66" s="43">
        <v>150000</v>
      </c>
      <c r="N66" s="16"/>
      <c r="O66" s="18"/>
      <c r="P66" s="19">
        <f>SUM(D66:M66)</f>
        <v>600000</v>
      </c>
      <c r="Q66" s="16"/>
      <c r="R66" s="18"/>
      <c r="S66" s="238"/>
      <c r="T66" s="16"/>
      <c r="U66" s="9"/>
      <c r="V66" s="18"/>
      <c r="W66" s="43">
        <v>0</v>
      </c>
      <c r="X66" s="5"/>
      <c r="Y66" s="44"/>
      <c r="Z66" s="43">
        <v>0</v>
      </c>
      <c r="AA66" s="5"/>
      <c r="AB66" s="44"/>
      <c r="AC66" s="43">
        <v>0</v>
      </c>
      <c r="AD66" s="5"/>
      <c r="AE66" s="44"/>
      <c r="AF66" s="43">
        <v>0</v>
      </c>
      <c r="AG66" s="16"/>
      <c r="AH66" s="18"/>
      <c r="AI66" s="19">
        <f>SUM(W66:AF66)</f>
        <v>0</v>
      </c>
      <c r="AJ66" s="16"/>
      <c r="AK66" s="18"/>
      <c r="AL66" s="238"/>
      <c r="AM66" s="16"/>
      <c r="AN66" s="9"/>
      <c r="AO66" s="18"/>
      <c r="AP66" s="43">
        <v>0</v>
      </c>
      <c r="AQ66" s="5"/>
      <c r="AR66" s="44"/>
      <c r="AS66" s="43">
        <v>0</v>
      </c>
      <c r="AT66" s="5"/>
      <c r="AU66" s="44"/>
      <c r="AV66" s="43">
        <v>0</v>
      </c>
      <c r="AW66" s="5"/>
      <c r="AX66" s="44"/>
      <c r="AY66" s="43">
        <v>0</v>
      </c>
      <c r="AZ66" s="16"/>
      <c r="BA66" s="18"/>
      <c r="BB66" s="19">
        <f>SUM(AP66:AY66)</f>
        <v>0</v>
      </c>
      <c r="BC66" s="16"/>
      <c r="BD66" s="18"/>
      <c r="BE66" s="238"/>
      <c r="BF66" s="16"/>
      <c r="BG66" s="9"/>
      <c r="BH66" s="18"/>
      <c r="BI66" s="43">
        <v>0</v>
      </c>
      <c r="BJ66" s="5"/>
      <c r="BK66" s="44"/>
      <c r="BL66" s="43">
        <v>0</v>
      </c>
      <c r="BM66" s="5"/>
      <c r="BN66" s="44"/>
      <c r="BO66" s="43">
        <v>0</v>
      </c>
      <c r="BP66" s="5"/>
      <c r="BQ66" s="44"/>
      <c r="BR66" s="43">
        <v>0</v>
      </c>
      <c r="BS66" s="16"/>
      <c r="BT66" s="18"/>
      <c r="BU66" s="19">
        <f>SUM(BI66:BR66)</f>
        <v>0</v>
      </c>
      <c r="BV66" s="16"/>
      <c r="BW66" s="18"/>
      <c r="BX66" s="238"/>
      <c r="BY66" s="16"/>
      <c r="BZ66" s="70"/>
      <c r="CA66" s="75"/>
      <c r="CB66" s="79">
        <f>+D66+W66+AP66+BI66</f>
        <v>150000</v>
      </c>
      <c r="CC66" s="76"/>
      <c r="CD66" s="77"/>
      <c r="CE66" s="79">
        <f>+G66+Z66+AS66+BL66</f>
        <v>150000</v>
      </c>
      <c r="CF66" s="76"/>
      <c r="CG66" s="77"/>
      <c r="CH66" s="79">
        <f>+J66+AC66+AV66+BO66</f>
        <v>150000</v>
      </c>
      <c r="CI66" s="76"/>
      <c r="CJ66" s="77"/>
      <c r="CK66" s="79">
        <f>+M66+AF66+AY66+BR66</f>
        <v>150000</v>
      </c>
      <c r="CL66" s="21"/>
      <c r="CM66" s="75"/>
      <c r="CN66" s="19">
        <f>SUM(CB66:CK66)</f>
        <v>600000</v>
      </c>
      <c r="CO66" s="16"/>
      <c r="CP66" s="18"/>
      <c r="CQ66" s="238">
        <f>+S66+AL66+BE66+BX66</f>
        <v>0</v>
      </c>
      <c r="CR66" s="21"/>
      <c r="CS66" s="70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</row>
    <row r="67" spans="1:124" outlineLevel="1" x14ac:dyDescent="0.15">
      <c r="A67" s="234"/>
      <c r="B67" s="9"/>
      <c r="C67" s="16"/>
      <c r="D67" s="46"/>
      <c r="E67" s="5"/>
      <c r="F67" s="5"/>
      <c r="G67" s="46"/>
      <c r="H67" s="5"/>
      <c r="I67" s="5"/>
      <c r="J67" s="46"/>
      <c r="K67" s="5"/>
      <c r="L67" s="5"/>
      <c r="M67" s="46"/>
      <c r="N67" s="16"/>
      <c r="O67" s="16"/>
      <c r="P67" s="17"/>
      <c r="Q67" s="16"/>
      <c r="R67" s="16"/>
      <c r="S67" s="219"/>
      <c r="T67" s="16"/>
      <c r="U67" s="9"/>
      <c r="V67" s="16"/>
      <c r="W67" s="46"/>
      <c r="X67" s="5"/>
      <c r="Y67" s="5"/>
      <c r="Z67" s="46"/>
      <c r="AA67" s="5"/>
      <c r="AB67" s="5"/>
      <c r="AC67" s="46"/>
      <c r="AD67" s="5"/>
      <c r="AE67" s="5"/>
      <c r="AF67" s="46"/>
      <c r="AG67" s="16"/>
      <c r="AH67" s="16"/>
      <c r="AI67" s="17"/>
      <c r="AJ67" s="16"/>
      <c r="AK67" s="16"/>
      <c r="AL67" s="219"/>
      <c r="AM67" s="16"/>
      <c r="AN67" s="9"/>
      <c r="AO67" s="16"/>
      <c r="AP67" s="46"/>
      <c r="AQ67" s="5"/>
      <c r="AR67" s="5"/>
      <c r="AS67" s="46"/>
      <c r="AT67" s="5"/>
      <c r="AU67" s="5"/>
      <c r="AV67" s="46"/>
      <c r="AW67" s="5"/>
      <c r="AX67" s="5"/>
      <c r="AY67" s="46"/>
      <c r="AZ67" s="16"/>
      <c r="BA67" s="16"/>
      <c r="BB67" s="17"/>
      <c r="BC67" s="16"/>
      <c r="BD67" s="16"/>
      <c r="BE67" s="219"/>
      <c r="BF67" s="16"/>
      <c r="BG67" s="9"/>
      <c r="BH67" s="16"/>
      <c r="BI67" s="46"/>
      <c r="BJ67" s="5"/>
      <c r="BK67" s="5"/>
      <c r="BL67" s="46"/>
      <c r="BM67" s="5"/>
      <c r="BN67" s="5"/>
      <c r="BO67" s="46"/>
      <c r="BP67" s="5"/>
      <c r="BQ67" s="5"/>
      <c r="BR67" s="46"/>
      <c r="BS67" s="16"/>
      <c r="BT67" s="16"/>
      <c r="BU67" s="17"/>
      <c r="BV67" s="16"/>
      <c r="BW67" s="16"/>
      <c r="BX67" s="219"/>
      <c r="BY67" s="16"/>
      <c r="BZ67" s="70"/>
      <c r="CA67" s="21"/>
      <c r="CB67" s="46"/>
      <c r="CC67" s="76"/>
      <c r="CD67" s="76"/>
      <c r="CE67" s="46"/>
      <c r="CF67" s="76"/>
      <c r="CG67" s="76"/>
      <c r="CH67" s="46"/>
      <c r="CI67" s="76"/>
      <c r="CJ67" s="76"/>
      <c r="CK67" s="46"/>
      <c r="CL67" s="21"/>
      <c r="CM67" s="21"/>
      <c r="CN67" s="17"/>
      <c r="CO67" s="16"/>
      <c r="CP67" s="16"/>
      <c r="CQ67" s="219"/>
      <c r="CR67" s="21"/>
      <c r="CS67" s="70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</row>
    <row r="68" spans="1:124" outlineLevel="1" x14ac:dyDescent="0.15">
      <c r="A68" s="235"/>
      <c r="B68" s="9"/>
      <c r="C68" s="18"/>
      <c r="D68" s="43">
        <v>0</v>
      </c>
      <c r="E68" s="5"/>
      <c r="F68" s="44"/>
      <c r="G68" s="43">
        <v>0</v>
      </c>
      <c r="H68" s="5"/>
      <c r="I68" s="44"/>
      <c r="J68" s="43">
        <v>0</v>
      </c>
      <c r="K68" s="5"/>
      <c r="L68" s="44"/>
      <c r="M68" s="43">
        <v>0</v>
      </c>
      <c r="N68" s="16"/>
      <c r="O68" s="18"/>
      <c r="P68" s="19">
        <f>SUM(D68:M68)</f>
        <v>0</v>
      </c>
      <c r="Q68" s="16"/>
      <c r="R68" s="18"/>
      <c r="S68" s="238"/>
      <c r="T68" s="16"/>
      <c r="U68" s="9"/>
      <c r="V68" s="18"/>
      <c r="W68" s="43">
        <v>0</v>
      </c>
      <c r="X68" s="5"/>
      <c r="Y68" s="44"/>
      <c r="Z68" s="43">
        <v>0</v>
      </c>
      <c r="AA68" s="5"/>
      <c r="AB68" s="44"/>
      <c r="AC68" s="43">
        <v>0</v>
      </c>
      <c r="AD68" s="5"/>
      <c r="AE68" s="44"/>
      <c r="AF68" s="43">
        <v>0</v>
      </c>
      <c r="AG68" s="16"/>
      <c r="AH68" s="18"/>
      <c r="AI68" s="19">
        <f>SUM(W68:AF68)</f>
        <v>0</v>
      </c>
      <c r="AJ68" s="16"/>
      <c r="AK68" s="18"/>
      <c r="AL68" s="238"/>
      <c r="AM68" s="16"/>
      <c r="AN68" s="9"/>
      <c r="AO68" s="18"/>
      <c r="AP68" s="43">
        <v>0</v>
      </c>
      <c r="AQ68" s="5"/>
      <c r="AR68" s="44"/>
      <c r="AS68" s="43">
        <v>0</v>
      </c>
      <c r="AT68" s="5"/>
      <c r="AU68" s="44"/>
      <c r="AV68" s="43">
        <v>0</v>
      </c>
      <c r="AW68" s="5"/>
      <c r="AX68" s="44"/>
      <c r="AY68" s="43">
        <v>0</v>
      </c>
      <c r="AZ68" s="16"/>
      <c r="BA68" s="18"/>
      <c r="BB68" s="19">
        <f>SUM(AP68:AY68)</f>
        <v>0</v>
      </c>
      <c r="BC68" s="16"/>
      <c r="BD68" s="18"/>
      <c r="BE68" s="238"/>
      <c r="BF68" s="16"/>
      <c r="BG68" s="9"/>
      <c r="BH68" s="18"/>
      <c r="BI68" s="43">
        <v>0</v>
      </c>
      <c r="BJ68" s="5"/>
      <c r="BK68" s="44"/>
      <c r="BL68" s="43">
        <v>0</v>
      </c>
      <c r="BM68" s="5"/>
      <c r="BN68" s="44"/>
      <c r="BO68" s="43">
        <v>0</v>
      </c>
      <c r="BP68" s="5"/>
      <c r="BQ68" s="44"/>
      <c r="BR68" s="43">
        <v>0</v>
      </c>
      <c r="BS68" s="16"/>
      <c r="BT68" s="18"/>
      <c r="BU68" s="19">
        <f>SUM(BI68:BR68)</f>
        <v>0</v>
      </c>
      <c r="BV68" s="16"/>
      <c r="BW68" s="18"/>
      <c r="BX68" s="238"/>
      <c r="BY68" s="16"/>
      <c r="BZ68" s="70"/>
      <c r="CA68" s="75"/>
      <c r="CB68" s="79">
        <f>+D68+W68+AP68+BI68</f>
        <v>0</v>
      </c>
      <c r="CC68" s="76"/>
      <c r="CD68" s="77"/>
      <c r="CE68" s="79">
        <f>+G68+Z68+AS68+BL68</f>
        <v>0</v>
      </c>
      <c r="CF68" s="76"/>
      <c r="CG68" s="77"/>
      <c r="CH68" s="79">
        <f>+J68+AC68+AV68+BO68</f>
        <v>0</v>
      </c>
      <c r="CI68" s="76"/>
      <c r="CJ68" s="77"/>
      <c r="CK68" s="79">
        <f>+M68+AF68+AY68+BR68</f>
        <v>0</v>
      </c>
      <c r="CL68" s="21"/>
      <c r="CM68" s="75"/>
      <c r="CN68" s="19">
        <f>SUM(CB68:CK68)</f>
        <v>0</v>
      </c>
      <c r="CO68" s="16"/>
      <c r="CP68" s="18"/>
      <c r="CQ68" s="238">
        <f>+S68+AL68+BE68+BX68</f>
        <v>0</v>
      </c>
      <c r="CR68" s="21"/>
      <c r="CS68" s="70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</row>
    <row r="69" spans="1:124" outlineLevel="1" x14ac:dyDescent="0.15">
      <c r="A69" s="230"/>
      <c r="B69" s="9"/>
      <c r="C69" s="16"/>
      <c r="D69" s="45"/>
      <c r="E69" s="5"/>
      <c r="F69" s="5"/>
      <c r="G69" s="45"/>
      <c r="H69" s="5"/>
      <c r="I69" s="5"/>
      <c r="J69" s="45"/>
      <c r="K69" s="5"/>
      <c r="L69" s="5"/>
      <c r="M69" s="45"/>
      <c r="N69" s="16"/>
      <c r="O69" s="16"/>
      <c r="P69" s="20"/>
      <c r="Q69" s="16"/>
      <c r="R69" s="16"/>
      <c r="S69" s="218"/>
      <c r="T69" s="16"/>
      <c r="U69" s="9"/>
      <c r="V69" s="16"/>
      <c r="W69" s="45"/>
      <c r="X69" s="5"/>
      <c r="Y69" s="5"/>
      <c r="Z69" s="45"/>
      <c r="AA69" s="5"/>
      <c r="AB69" s="5"/>
      <c r="AC69" s="45"/>
      <c r="AD69" s="5"/>
      <c r="AE69" s="5"/>
      <c r="AF69" s="45"/>
      <c r="AG69" s="16"/>
      <c r="AH69" s="16"/>
      <c r="AI69" s="20"/>
      <c r="AJ69" s="16"/>
      <c r="AK69" s="16"/>
      <c r="AL69" s="218"/>
      <c r="AM69" s="16"/>
      <c r="AN69" s="9"/>
      <c r="AO69" s="16"/>
      <c r="AP69" s="45"/>
      <c r="AQ69" s="5"/>
      <c r="AR69" s="5"/>
      <c r="AS69" s="45"/>
      <c r="AT69" s="5"/>
      <c r="AU69" s="5"/>
      <c r="AV69" s="45"/>
      <c r="AW69" s="5"/>
      <c r="AX69" s="5"/>
      <c r="AY69" s="45"/>
      <c r="AZ69" s="16"/>
      <c r="BA69" s="16"/>
      <c r="BB69" s="20"/>
      <c r="BC69" s="16"/>
      <c r="BD69" s="16"/>
      <c r="BE69" s="218"/>
      <c r="BF69" s="16"/>
      <c r="BG69" s="9"/>
      <c r="BH69" s="16"/>
      <c r="BI69" s="45"/>
      <c r="BJ69" s="5"/>
      <c r="BK69" s="5"/>
      <c r="BL69" s="45"/>
      <c r="BM69" s="5"/>
      <c r="BN69" s="5"/>
      <c r="BO69" s="45"/>
      <c r="BP69" s="5"/>
      <c r="BQ69" s="5"/>
      <c r="BR69" s="45"/>
      <c r="BS69" s="16"/>
      <c r="BT69" s="16"/>
      <c r="BU69" s="20"/>
      <c r="BV69" s="16"/>
      <c r="BW69" s="16"/>
      <c r="BX69" s="218"/>
      <c r="BY69" s="16"/>
      <c r="BZ69" s="70"/>
      <c r="CA69" s="21"/>
      <c r="CB69" s="45"/>
      <c r="CC69" s="76"/>
      <c r="CD69" s="76"/>
      <c r="CE69" s="45"/>
      <c r="CF69" s="76"/>
      <c r="CG69" s="76"/>
      <c r="CH69" s="45"/>
      <c r="CI69" s="76"/>
      <c r="CJ69" s="76"/>
      <c r="CK69" s="45"/>
      <c r="CL69" s="21"/>
      <c r="CM69" s="21"/>
      <c r="CN69" s="20"/>
      <c r="CO69" s="16"/>
      <c r="CP69" s="16"/>
      <c r="CQ69" s="218"/>
      <c r="CR69" s="21"/>
      <c r="CS69" s="70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</row>
    <row r="70" spans="1:124" outlineLevel="1" x14ac:dyDescent="0.15">
      <c r="A70" s="235"/>
      <c r="B70" s="9"/>
      <c r="C70" s="18"/>
      <c r="D70" s="43">
        <v>0</v>
      </c>
      <c r="E70" s="5"/>
      <c r="F70" s="44"/>
      <c r="G70" s="43">
        <v>0</v>
      </c>
      <c r="H70" s="5"/>
      <c r="I70" s="44"/>
      <c r="J70" s="43">
        <v>0</v>
      </c>
      <c r="K70" s="5"/>
      <c r="L70" s="44"/>
      <c r="M70" s="43">
        <v>0</v>
      </c>
      <c r="N70" s="16"/>
      <c r="O70" s="18"/>
      <c r="P70" s="19">
        <f>SUM(D70:M70)</f>
        <v>0</v>
      </c>
      <c r="Q70" s="16"/>
      <c r="R70" s="18"/>
      <c r="S70" s="238"/>
      <c r="T70" s="16"/>
      <c r="U70" s="9"/>
      <c r="V70" s="18"/>
      <c r="W70" s="43">
        <v>0</v>
      </c>
      <c r="X70" s="5"/>
      <c r="Y70" s="44"/>
      <c r="Z70" s="43">
        <v>0</v>
      </c>
      <c r="AA70" s="5"/>
      <c r="AB70" s="44"/>
      <c r="AC70" s="43">
        <v>0</v>
      </c>
      <c r="AD70" s="5"/>
      <c r="AE70" s="44"/>
      <c r="AF70" s="43">
        <v>0</v>
      </c>
      <c r="AG70" s="16"/>
      <c r="AH70" s="18"/>
      <c r="AI70" s="19">
        <f>SUM(W70:AF70)</f>
        <v>0</v>
      </c>
      <c r="AJ70" s="16"/>
      <c r="AK70" s="18"/>
      <c r="AL70" s="238"/>
      <c r="AM70" s="16"/>
      <c r="AN70" s="9"/>
      <c r="AO70" s="18"/>
      <c r="AP70" s="43">
        <v>0</v>
      </c>
      <c r="AQ70" s="5"/>
      <c r="AR70" s="44"/>
      <c r="AS70" s="43">
        <v>0</v>
      </c>
      <c r="AT70" s="5"/>
      <c r="AU70" s="44"/>
      <c r="AV70" s="43">
        <v>0</v>
      </c>
      <c r="AW70" s="5"/>
      <c r="AX70" s="44"/>
      <c r="AY70" s="43">
        <v>0</v>
      </c>
      <c r="AZ70" s="16"/>
      <c r="BA70" s="18"/>
      <c r="BB70" s="19">
        <f>SUM(AP70:AY70)</f>
        <v>0</v>
      </c>
      <c r="BC70" s="16"/>
      <c r="BD70" s="18"/>
      <c r="BE70" s="238"/>
      <c r="BF70" s="16"/>
      <c r="BG70" s="9"/>
      <c r="BH70" s="18"/>
      <c r="BI70" s="43">
        <v>0</v>
      </c>
      <c r="BJ70" s="5"/>
      <c r="BK70" s="44"/>
      <c r="BL70" s="43">
        <v>0</v>
      </c>
      <c r="BM70" s="5"/>
      <c r="BN70" s="44"/>
      <c r="BO70" s="43">
        <v>0</v>
      </c>
      <c r="BP70" s="5"/>
      <c r="BQ70" s="44"/>
      <c r="BR70" s="43">
        <v>0</v>
      </c>
      <c r="BS70" s="16"/>
      <c r="BT70" s="18"/>
      <c r="BU70" s="19">
        <f>SUM(BI70:BR70)</f>
        <v>0</v>
      </c>
      <c r="BV70" s="16"/>
      <c r="BW70" s="18"/>
      <c r="BX70" s="238"/>
      <c r="BY70" s="16"/>
      <c r="BZ70" s="70"/>
      <c r="CA70" s="75"/>
      <c r="CB70" s="79">
        <f>+D70+W70+AP70+BI70</f>
        <v>0</v>
      </c>
      <c r="CC70" s="76"/>
      <c r="CD70" s="77"/>
      <c r="CE70" s="79">
        <f>+G70+Z70+AS70+BL70</f>
        <v>0</v>
      </c>
      <c r="CF70" s="76"/>
      <c r="CG70" s="77"/>
      <c r="CH70" s="79">
        <f>+J70+AC70+AV70+BO70</f>
        <v>0</v>
      </c>
      <c r="CI70" s="76"/>
      <c r="CJ70" s="77"/>
      <c r="CK70" s="79">
        <f>+M70+AF70+AY70+BR70</f>
        <v>0</v>
      </c>
      <c r="CL70" s="21"/>
      <c r="CM70" s="75"/>
      <c r="CN70" s="19">
        <f>SUM(CB70:CK70)</f>
        <v>0</v>
      </c>
      <c r="CO70" s="16"/>
      <c r="CP70" s="18"/>
      <c r="CQ70" s="238">
        <f>+S70+AL70+BE70+BX70</f>
        <v>0</v>
      </c>
      <c r="CR70" s="21"/>
      <c r="CS70" s="70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</row>
    <row r="71" spans="1:124" outlineLevel="1" x14ac:dyDescent="0.15">
      <c r="A71" s="234"/>
      <c r="B71" s="9"/>
      <c r="C71" s="16"/>
      <c r="D71" s="46"/>
      <c r="E71" s="5"/>
      <c r="F71" s="5"/>
      <c r="G71" s="46"/>
      <c r="H71" s="5"/>
      <c r="I71" s="5"/>
      <c r="J71" s="46"/>
      <c r="K71" s="5"/>
      <c r="L71" s="5"/>
      <c r="M71" s="46"/>
      <c r="N71" s="16"/>
      <c r="O71" s="16"/>
      <c r="P71" s="17"/>
      <c r="Q71" s="16"/>
      <c r="R71" s="16"/>
      <c r="S71" s="219"/>
      <c r="T71" s="16"/>
      <c r="U71" s="9"/>
      <c r="V71" s="16"/>
      <c r="W71" s="46"/>
      <c r="X71" s="5"/>
      <c r="Y71" s="5"/>
      <c r="Z71" s="46"/>
      <c r="AA71" s="5"/>
      <c r="AB71" s="5"/>
      <c r="AC71" s="46"/>
      <c r="AD71" s="5"/>
      <c r="AE71" s="5"/>
      <c r="AF71" s="46"/>
      <c r="AG71" s="16"/>
      <c r="AH71" s="16"/>
      <c r="AI71" s="17"/>
      <c r="AJ71" s="16"/>
      <c r="AK71" s="16"/>
      <c r="AL71" s="219"/>
      <c r="AM71" s="16"/>
      <c r="AN71" s="9"/>
      <c r="AO71" s="16"/>
      <c r="AP71" s="46"/>
      <c r="AQ71" s="5"/>
      <c r="AR71" s="5"/>
      <c r="AS71" s="46"/>
      <c r="AT71" s="5"/>
      <c r="AU71" s="5"/>
      <c r="AV71" s="46"/>
      <c r="AW71" s="5"/>
      <c r="AX71" s="5"/>
      <c r="AY71" s="46"/>
      <c r="AZ71" s="16"/>
      <c r="BA71" s="16"/>
      <c r="BB71" s="17"/>
      <c r="BC71" s="16"/>
      <c r="BD71" s="16"/>
      <c r="BE71" s="219"/>
      <c r="BF71" s="16"/>
      <c r="BG71" s="9"/>
      <c r="BH71" s="16"/>
      <c r="BI71" s="46"/>
      <c r="BJ71" s="5"/>
      <c r="BK71" s="5"/>
      <c r="BL71" s="46"/>
      <c r="BM71" s="5"/>
      <c r="BN71" s="5"/>
      <c r="BO71" s="46"/>
      <c r="BP71" s="5"/>
      <c r="BQ71" s="5"/>
      <c r="BR71" s="46"/>
      <c r="BS71" s="16"/>
      <c r="BT71" s="16"/>
      <c r="BU71" s="17"/>
      <c r="BV71" s="16"/>
      <c r="BW71" s="16"/>
      <c r="BX71" s="219"/>
      <c r="BY71" s="16"/>
      <c r="BZ71" s="70"/>
      <c r="CA71" s="21"/>
      <c r="CB71" s="46"/>
      <c r="CC71" s="76"/>
      <c r="CD71" s="76"/>
      <c r="CE71" s="46"/>
      <c r="CF71" s="76"/>
      <c r="CG71" s="76"/>
      <c r="CH71" s="46"/>
      <c r="CI71" s="76"/>
      <c r="CJ71" s="76"/>
      <c r="CK71" s="46"/>
      <c r="CL71" s="21"/>
      <c r="CM71" s="21"/>
      <c r="CN71" s="17"/>
      <c r="CO71" s="16"/>
      <c r="CP71" s="16"/>
      <c r="CQ71" s="219"/>
      <c r="CR71" s="21"/>
      <c r="CS71" s="70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</row>
    <row r="72" spans="1:124" outlineLevel="1" x14ac:dyDescent="0.15">
      <c r="A72" s="235"/>
      <c r="B72" s="9"/>
      <c r="C72" s="18"/>
      <c r="D72" s="43">
        <v>0</v>
      </c>
      <c r="E72" s="5"/>
      <c r="F72" s="44"/>
      <c r="G72" s="43">
        <v>0</v>
      </c>
      <c r="H72" s="5"/>
      <c r="I72" s="44"/>
      <c r="J72" s="43">
        <v>0</v>
      </c>
      <c r="K72" s="5"/>
      <c r="L72" s="44"/>
      <c r="M72" s="43">
        <v>0</v>
      </c>
      <c r="N72" s="16"/>
      <c r="O72" s="18"/>
      <c r="P72" s="19">
        <f>SUM(D72:M72)</f>
        <v>0</v>
      </c>
      <c r="Q72" s="16"/>
      <c r="R72" s="18"/>
      <c r="S72" s="238"/>
      <c r="T72" s="16"/>
      <c r="U72" s="9"/>
      <c r="V72" s="18"/>
      <c r="W72" s="43">
        <v>0</v>
      </c>
      <c r="X72" s="5"/>
      <c r="Y72" s="44"/>
      <c r="Z72" s="43">
        <v>0</v>
      </c>
      <c r="AA72" s="5"/>
      <c r="AB72" s="44"/>
      <c r="AC72" s="43">
        <v>0</v>
      </c>
      <c r="AD72" s="5"/>
      <c r="AE72" s="44"/>
      <c r="AF72" s="43">
        <v>0</v>
      </c>
      <c r="AG72" s="16"/>
      <c r="AH72" s="18"/>
      <c r="AI72" s="19">
        <f>SUM(W72:AF72)</f>
        <v>0</v>
      </c>
      <c r="AJ72" s="16"/>
      <c r="AK72" s="18"/>
      <c r="AL72" s="238"/>
      <c r="AM72" s="16"/>
      <c r="AN72" s="9"/>
      <c r="AO72" s="18"/>
      <c r="AP72" s="43">
        <v>0</v>
      </c>
      <c r="AQ72" s="5"/>
      <c r="AR72" s="44"/>
      <c r="AS72" s="43">
        <v>0</v>
      </c>
      <c r="AT72" s="5"/>
      <c r="AU72" s="44"/>
      <c r="AV72" s="43">
        <v>0</v>
      </c>
      <c r="AW72" s="5"/>
      <c r="AX72" s="44"/>
      <c r="AY72" s="43">
        <v>0</v>
      </c>
      <c r="AZ72" s="16"/>
      <c r="BA72" s="18"/>
      <c r="BB72" s="19">
        <f>SUM(AP72:AY72)</f>
        <v>0</v>
      </c>
      <c r="BC72" s="16"/>
      <c r="BD72" s="18"/>
      <c r="BE72" s="238"/>
      <c r="BF72" s="16"/>
      <c r="BG72" s="9"/>
      <c r="BH72" s="18"/>
      <c r="BI72" s="43">
        <v>0</v>
      </c>
      <c r="BJ72" s="5"/>
      <c r="BK72" s="44"/>
      <c r="BL72" s="43">
        <v>0</v>
      </c>
      <c r="BM72" s="5"/>
      <c r="BN72" s="44"/>
      <c r="BO72" s="43">
        <v>0</v>
      </c>
      <c r="BP72" s="5"/>
      <c r="BQ72" s="44"/>
      <c r="BR72" s="43">
        <v>0</v>
      </c>
      <c r="BS72" s="16"/>
      <c r="BT72" s="18"/>
      <c r="BU72" s="19">
        <f>SUM(BI72:BR72)</f>
        <v>0</v>
      </c>
      <c r="BV72" s="16"/>
      <c r="BW72" s="18"/>
      <c r="BX72" s="238"/>
      <c r="BY72" s="16"/>
      <c r="BZ72" s="70"/>
      <c r="CA72" s="75"/>
      <c r="CB72" s="79">
        <f>+D72+W72+AP72+BI72</f>
        <v>0</v>
      </c>
      <c r="CC72" s="76"/>
      <c r="CD72" s="77"/>
      <c r="CE72" s="79">
        <f>+G72+Z72+AS72+BL72</f>
        <v>0</v>
      </c>
      <c r="CF72" s="76"/>
      <c r="CG72" s="77"/>
      <c r="CH72" s="79">
        <f>+J72+AC72+AV72+BO72</f>
        <v>0</v>
      </c>
      <c r="CI72" s="76"/>
      <c r="CJ72" s="77"/>
      <c r="CK72" s="79">
        <f>+M72+AF72+AY72+BR72</f>
        <v>0</v>
      </c>
      <c r="CL72" s="21"/>
      <c r="CM72" s="75"/>
      <c r="CN72" s="19">
        <f>SUM(CB72:CK72)</f>
        <v>0</v>
      </c>
      <c r="CO72" s="16"/>
      <c r="CP72" s="18"/>
      <c r="CQ72" s="238">
        <f>+S72+AL72+BE72+BX72</f>
        <v>0</v>
      </c>
      <c r="CR72" s="21"/>
      <c r="CS72" s="70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</row>
    <row r="73" spans="1:124" outlineLevel="1" x14ac:dyDescent="0.15">
      <c r="A73" s="234"/>
      <c r="B73" s="9"/>
      <c r="C73" s="16"/>
      <c r="D73" s="45"/>
      <c r="E73" s="5"/>
      <c r="F73" s="5"/>
      <c r="G73" s="45"/>
      <c r="H73" s="5"/>
      <c r="I73" s="5"/>
      <c r="J73" s="45"/>
      <c r="K73" s="5"/>
      <c r="L73" s="5"/>
      <c r="M73" s="45"/>
      <c r="N73" s="16"/>
      <c r="O73" s="16"/>
      <c r="P73" s="20"/>
      <c r="Q73" s="16"/>
      <c r="R73" s="16"/>
      <c r="S73" s="218"/>
      <c r="T73" s="16"/>
      <c r="U73" s="9"/>
      <c r="V73" s="16"/>
      <c r="W73" s="45"/>
      <c r="X73" s="5"/>
      <c r="Y73" s="5"/>
      <c r="Z73" s="45"/>
      <c r="AA73" s="5"/>
      <c r="AB73" s="5"/>
      <c r="AC73" s="45"/>
      <c r="AD73" s="5"/>
      <c r="AE73" s="5"/>
      <c r="AF73" s="45"/>
      <c r="AG73" s="16"/>
      <c r="AH73" s="16"/>
      <c r="AI73" s="20"/>
      <c r="AJ73" s="16"/>
      <c r="AK73" s="16"/>
      <c r="AL73" s="218"/>
      <c r="AM73" s="16"/>
      <c r="AN73" s="9"/>
      <c r="AO73" s="16"/>
      <c r="AP73" s="45"/>
      <c r="AQ73" s="5"/>
      <c r="AR73" s="5"/>
      <c r="AS73" s="45"/>
      <c r="AT73" s="5"/>
      <c r="AU73" s="5"/>
      <c r="AV73" s="45"/>
      <c r="AW73" s="5"/>
      <c r="AX73" s="5"/>
      <c r="AY73" s="45"/>
      <c r="AZ73" s="16"/>
      <c r="BA73" s="16"/>
      <c r="BB73" s="20"/>
      <c r="BC73" s="16"/>
      <c r="BD73" s="16"/>
      <c r="BE73" s="218"/>
      <c r="BF73" s="16"/>
      <c r="BG73" s="9"/>
      <c r="BH73" s="16"/>
      <c r="BI73" s="45"/>
      <c r="BJ73" s="5"/>
      <c r="BK73" s="5"/>
      <c r="BL73" s="45"/>
      <c r="BM73" s="5"/>
      <c r="BN73" s="5"/>
      <c r="BO73" s="45"/>
      <c r="BP73" s="5"/>
      <c r="BQ73" s="5"/>
      <c r="BR73" s="45"/>
      <c r="BS73" s="16"/>
      <c r="BT73" s="16"/>
      <c r="BU73" s="20"/>
      <c r="BV73" s="16"/>
      <c r="BW73" s="16"/>
      <c r="BX73" s="218"/>
      <c r="BY73" s="16"/>
      <c r="BZ73" s="70"/>
      <c r="CA73" s="21"/>
      <c r="CB73" s="45"/>
      <c r="CC73" s="76"/>
      <c r="CD73" s="76"/>
      <c r="CE73" s="45"/>
      <c r="CF73" s="76"/>
      <c r="CG73" s="76"/>
      <c r="CH73" s="45"/>
      <c r="CI73" s="76"/>
      <c r="CJ73" s="76"/>
      <c r="CK73" s="45"/>
      <c r="CL73" s="21"/>
      <c r="CM73" s="21"/>
      <c r="CN73" s="20"/>
      <c r="CO73" s="16"/>
      <c r="CP73" s="16"/>
      <c r="CQ73" s="218"/>
      <c r="CR73" s="21"/>
      <c r="CS73" s="70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</row>
    <row r="74" spans="1:124" outlineLevel="1" x14ac:dyDescent="0.15">
      <c r="A74" s="235"/>
      <c r="B74" s="9"/>
      <c r="C74" s="18"/>
      <c r="D74" s="43">
        <v>0</v>
      </c>
      <c r="E74" s="5"/>
      <c r="F74" s="44"/>
      <c r="G74" s="43">
        <v>0</v>
      </c>
      <c r="H74" s="5"/>
      <c r="I74" s="44"/>
      <c r="J74" s="43">
        <v>0</v>
      </c>
      <c r="K74" s="5"/>
      <c r="L74" s="44"/>
      <c r="M74" s="43">
        <v>0</v>
      </c>
      <c r="N74" s="16"/>
      <c r="O74" s="18"/>
      <c r="P74" s="19">
        <f>SUM(D74:M74)</f>
        <v>0</v>
      </c>
      <c r="Q74" s="16"/>
      <c r="R74" s="18"/>
      <c r="S74" s="238"/>
      <c r="T74" s="16"/>
      <c r="U74" s="9"/>
      <c r="V74" s="18"/>
      <c r="W74" s="43">
        <v>0</v>
      </c>
      <c r="X74" s="5"/>
      <c r="Y74" s="44"/>
      <c r="Z74" s="43">
        <v>0</v>
      </c>
      <c r="AA74" s="5"/>
      <c r="AB74" s="44"/>
      <c r="AC74" s="43">
        <v>0</v>
      </c>
      <c r="AD74" s="5"/>
      <c r="AE74" s="44"/>
      <c r="AF74" s="43">
        <v>0</v>
      </c>
      <c r="AG74" s="16"/>
      <c r="AH74" s="18"/>
      <c r="AI74" s="19">
        <f>SUM(W74:AF74)</f>
        <v>0</v>
      </c>
      <c r="AJ74" s="16"/>
      <c r="AK74" s="18"/>
      <c r="AL74" s="238"/>
      <c r="AM74" s="16"/>
      <c r="AN74" s="9"/>
      <c r="AO74" s="18"/>
      <c r="AP74" s="43">
        <v>0</v>
      </c>
      <c r="AQ74" s="5"/>
      <c r="AR74" s="44"/>
      <c r="AS74" s="43">
        <v>0</v>
      </c>
      <c r="AT74" s="5"/>
      <c r="AU74" s="44"/>
      <c r="AV74" s="43">
        <v>0</v>
      </c>
      <c r="AW74" s="5"/>
      <c r="AX74" s="44"/>
      <c r="AY74" s="43">
        <v>0</v>
      </c>
      <c r="AZ74" s="16"/>
      <c r="BA74" s="18"/>
      <c r="BB74" s="19">
        <f>SUM(AP74:AY74)</f>
        <v>0</v>
      </c>
      <c r="BC74" s="16"/>
      <c r="BD74" s="18"/>
      <c r="BE74" s="238"/>
      <c r="BF74" s="16"/>
      <c r="BG74" s="9"/>
      <c r="BH74" s="18"/>
      <c r="BI74" s="43">
        <v>0</v>
      </c>
      <c r="BJ74" s="5"/>
      <c r="BK74" s="44"/>
      <c r="BL74" s="43">
        <v>0</v>
      </c>
      <c r="BM74" s="5"/>
      <c r="BN74" s="44"/>
      <c r="BO74" s="43">
        <v>0</v>
      </c>
      <c r="BP74" s="5"/>
      <c r="BQ74" s="44"/>
      <c r="BR74" s="43">
        <v>0</v>
      </c>
      <c r="BS74" s="16"/>
      <c r="BT74" s="18"/>
      <c r="BU74" s="19">
        <f>SUM(BI74:BR74)</f>
        <v>0</v>
      </c>
      <c r="BV74" s="16"/>
      <c r="BW74" s="18"/>
      <c r="BX74" s="238"/>
      <c r="BY74" s="16"/>
      <c r="BZ74" s="70"/>
      <c r="CA74" s="75"/>
      <c r="CB74" s="79">
        <f>+D74+W74+AP74+BI74</f>
        <v>0</v>
      </c>
      <c r="CC74" s="76"/>
      <c r="CD74" s="77"/>
      <c r="CE74" s="79">
        <f>+G74+Z74+AS74+BL74</f>
        <v>0</v>
      </c>
      <c r="CF74" s="76"/>
      <c r="CG74" s="77"/>
      <c r="CH74" s="79">
        <f>+J74+AC74+AV74+BO74</f>
        <v>0</v>
      </c>
      <c r="CI74" s="76"/>
      <c r="CJ74" s="77"/>
      <c r="CK74" s="79">
        <f>+M74+AF74+AY74+BR74</f>
        <v>0</v>
      </c>
      <c r="CL74" s="21"/>
      <c r="CM74" s="75"/>
      <c r="CN74" s="19">
        <f>SUM(CB74:CK74)</f>
        <v>0</v>
      </c>
      <c r="CO74" s="16"/>
      <c r="CP74" s="18"/>
      <c r="CQ74" s="238">
        <f>+S74+AL74+BE74+BX74</f>
        <v>0</v>
      </c>
      <c r="CR74" s="21"/>
      <c r="CS74" s="70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</row>
    <row r="75" spans="1:124" outlineLevel="1" x14ac:dyDescent="0.15">
      <c r="A75" s="230"/>
      <c r="B75" s="9"/>
      <c r="C75" s="16"/>
      <c r="D75" s="45"/>
      <c r="E75" s="5"/>
      <c r="F75" s="5"/>
      <c r="G75" s="45"/>
      <c r="H75" s="5"/>
      <c r="I75" s="5"/>
      <c r="J75" s="45"/>
      <c r="K75" s="5"/>
      <c r="L75" s="5"/>
      <c r="M75" s="45"/>
      <c r="N75" s="16"/>
      <c r="O75" s="16"/>
      <c r="P75" s="17"/>
      <c r="Q75" s="16"/>
      <c r="R75" s="16"/>
      <c r="S75" s="218"/>
      <c r="T75" s="16"/>
      <c r="U75" s="9"/>
      <c r="V75" s="16"/>
      <c r="W75" s="45"/>
      <c r="X75" s="5"/>
      <c r="Y75" s="5"/>
      <c r="Z75" s="45"/>
      <c r="AA75" s="5"/>
      <c r="AB75" s="5"/>
      <c r="AC75" s="45"/>
      <c r="AD75" s="5"/>
      <c r="AE75" s="5"/>
      <c r="AF75" s="45"/>
      <c r="AG75" s="16"/>
      <c r="AH75" s="16"/>
      <c r="AI75" s="17"/>
      <c r="AJ75" s="16"/>
      <c r="AK75" s="16"/>
      <c r="AL75" s="218"/>
      <c r="AM75" s="16"/>
      <c r="AN75" s="9"/>
      <c r="AO75" s="16"/>
      <c r="AP75" s="45"/>
      <c r="AQ75" s="5"/>
      <c r="AR75" s="5"/>
      <c r="AS75" s="45"/>
      <c r="AT75" s="5"/>
      <c r="AU75" s="5"/>
      <c r="AV75" s="45"/>
      <c r="AW75" s="5"/>
      <c r="AX75" s="5"/>
      <c r="AY75" s="45"/>
      <c r="AZ75" s="16"/>
      <c r="BA75" s="16"/>
      <c r="BB75" s="17"/>
      <c r="BC75" s="16"/>
      <c r="BD75" s="16"/>
      <c r="BE75" s="218"/>
      <c r="BF75" s="16"/>
      <c r="BG75" s="9"/>
      <c r="BH75" s="16"/>
      <c r="BI75" s="45"/>
      <c r="BJ75" s="5"/>
      <c r="BK75" s="5"/>
      <c r="BL75" s="45"/>
      <c r="BM75" s="5"/>
      <c r="BN75" s="5"/>
      <c r="BO75" s="45"/>
      <c r="BP75" s="5"/>
      <c r="BQ75" s="5"/>
      <c r="BR75" s="45"/>
      <c r="BS75" s="16"/>
      <c r="BT75" s="16"/>
      <c r="BU75" s="17"/>
      <c r="BV75" s="16"/>
      <c r="BW75" s="16"/>
      <c r="BX75" s="218"/>
      <c r="BY75" s="16"/>
      <c r="BZ75" s="70"/>
      <c r="CA75" s="21"/>
      <c r="CB75" s="45"/>
      <c r="CC75" s="76"/>
      <c r="CD75" s="76"/>
      <c r="CE75" s="45"/>
      <c r="CF75" s="76"/>
      <c r="CG75" s="76"/>
      <c r="CH75" s="45"/>
      <c r="CI75" s="76"/>
      <c r="CJ75" s="76"/>
      <c r="CK75" s="45"/>
      <c r="CL75" s="21"/>
      <c r="CM75" s="21"/>
      <c r="CN75" s="17"/>
      <c r="CO75" s="16"/>
      <c r="CP75" s="16"/>
      <c r="CQ75" s="218"/>
      <c r="CR75" s="21"/>
      <c r="CS75" s="70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</row>
    <row r="76" spans="1:124" outlineLevel="1" x14ac:dyDescent="0.15">
      <c r="A76" s="235"/>
      <c r="B76" s="9"/>
      <c r="C76" s="18"/>
      <c r="D76" s="43">
        <v>0</v>
      </c>
      <c r="E76" s="5"/>
      <c r="F76" s="44"/>
      <c r="G76" s="43">
        <v>0</v>
      </c>
      <c r="H76" s="5"/>
      <c r="I76" s="44"/>
      <c r="J76" s="43">
        <v>0</v>
      </c>
      <c r="K76" s="5"/>
      <c r="L76" s="44"/>
      <c r="M76" s="43">
        <v>0</v>
      </c>
      <c r="N76" s="16"/>
      <c r="O76" s="18"/>
      <c r="P76" s="19">
        <f>SUM(D76:M76)</f>
        <v>0</v>
      </c>
      <c r="Q76" s="16"/>
      <c r="R76" s="18"/>
      <c r="S76" s="238"/>
      <c r="T76" s="16"/>
      <c r="U76" s="9"/>
      <c r="V76" s="18"/>
      <c r="W76" s="43">
        <v>0</v>
      </c>
      <c r="X76" s="5"/>
      <c r="Y76" s="44"/>
      <c r="Z76" s="43">
        <v>0</v>
      </c>
      <c r="AA76" s="5"/>
      <c r="AB76" s="44"/>
      <c r="AC76" s="43">
        <v>0</v>
      </c>
      <c r="AD76" s="5"/>
      <c r="AE76" s="44"/>
      <c r="AF76" s="43">
        <v>0</v>
      </c>
      <c r="AG76" s="16"/>
      <c r="AH76" s="18"/>
      <c r="AI76" s="19">
        <f>SUM(W76:AF76)</f>
        <v>0</v>
      </c>
      <c r="AJ76" s="16"/>
      <c r="AK76" s="18"/>
      <c r="AL76" s="238"/>
      <c r="AM76" s="16"/>
      <c r="AN76" s="9"/>
      <c r="AO76" s="18"/>
      <c r="AP76" s="43">
        <v>0</v>
      </c>
      <c r="AQ76" s="5"/>
      <c r="AR76" s="44"/>
      <c r="AS76" s="43">
        <v>0</v>
      </c>
      <c r="AT76" s="5"/>
      <c r="AU76" s="44"/>
      <c r="AV76" s="43">
        <v>0</v>
      </c>
      <c r="AW76" s="5"/>
      <c r="AX76" s="44"/>
      <c r="AY76" s="43">
        <v>0</v>
      </c>
      <c r="AZ76" s="16"/>
      <c r="BA76" s="18"/>
      <c r="BB76" s="19">
        <f>SUM(AP76:AY76)</f>
        <v>0</v>
      </c>
      <c r="BC76" s="16"/>
      <c r="BD76" s="18"/>
      <c r="BE76" s="238"/>
      <c r="BF76" s="16"/>
      <c r="BG76" s="9"/>
      <c r="BH76" s="18"/>
      <c r="BI76" s="43">
        <v>0</v>
      </c>
      <c r="BJ76" s="5"/>
      <c r="BK76" s="44"/>
      <c r="BL76" s="43">
        <v>0</v>
      </c>
      <c r="BM76" s="5"/>
      <c r="BN76" s="44"/>
      <c r="BO76" s="43">
        <v>0</v>
      </c>
      <c r="BP76" s="5"/>
      <c r="BQ76" s="44"/>
      <c r="BR76" s="43">
        <v>0</v>
      </c>
      <c r="BS76" s="16"/>
      <c r="BT76" s="18"/>
      <c r="BU76" s="19">
        <f>SUM(BI76:BR76)</f>
        <v>0</v>
      </c>
      <c r="BV76" s="16"/>
      <c r="BW76" s="18"/>
      <c r="BX76" s="238"/>
      <c r="BY76" s="16"/>
      <c r="BZ76" s="70"/>
      <c r="CA76" s="75"/>
      <c r="CB76" s="79">
        <f>+D76+W76+AP76+BI76</f>
        <v>0</v>
      </c>
      <c r="CC76" s="76"/>
      <c r="CD76" s="77"/>
      <c r="CE76" s="79">
        <f>+G76+Z76+AS76+BL76</f>
        <v>0</v>
      </c>
      <c r="CF76" s="76"/>
      <c r="CG76" s="77"/>
      <c r="CH76" s="79">
        <f>+J76+AC76+AV76+BO76</f>
        <v>0</v>
      </c>
      <c r="CI76" s="76"/>
      <c r="CJ76" s="77"/>
      <c r="CK76" s="79">
        <f>+M76+AF76+AY76+BR76</f>
        <v>0</v>
      </c>
      <c r="CL76" s="21"/>
      <c r="CM76" s="75"/>
      <c r="CN76" s="19">
        <f>SUM(CB76:CK76)</f>
        <v>0</v>
      </c>
      <c r="CO76" s="16"/>
      <c r="CP76" s="18"/>
      <c r="CQ76" s="238">
        <f>+S76+AL76+BE76+BX76</f>
        <v>0</v>
      </c>
      <c r="CR76" s="21"/>
      <c r="CS76" s="70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</row>
    <row r="77" spans="1:124" outlineLevel="1" x14ac:dyDescent="0.15">
      <c r="A77" s="234"/>
      <c r="B77" s="9"/>
      <c r="C77" s="16"/>
      <c r="D77" s="46"/>
      <c r="E77" s="5"/>
      <c r="F77" s="5"/>
      <c r="G77" s="46"/>
      <c r="H77" s="5"/>
      <c r="I77" s="5"/>
      <c r="J77" s="46"/>
      <c r="K77" s="5"/>
      <c r="L77" s="5"/>
      <c r="M77" s="46"/>
      <c r="N77" s="16"/>
      <c r="O77" s="16"/>
      <c r="P77" s="17"/>
      <c r="Q77" s="16"/>
      <c r="R77" s="16"/>
      <c r="S77" s="218"/>
      <c r="T77" s="16"/>
      <c r="U77" s="9"/>
      <c r="V77" s="16"/>
      <c r="W77" s="46"/>
      <c r="X77" s="5"/>
      <c r="Y77" s="5"/>
      <c r="Z77" s="46"/>
      <c r="AA77" s="5"/>
      <c r="AB77" s="5"/>
      <c r="AC77" s="46"/>
      <c r="AD77" s="5"/>
      <c r="AE77" s="5"/>
      <c r="AF77" s="46"/>
      <c r="AG77" s="16"/>
      <c r="AH77" s="16"/>
      <c r="AI77" s="17"/>
      <c r="AJ77" s="16"/>
      <c r="AK77" s="16"/>
      <c r="AL77" s="218"/>
      <c r="AM77" s="16"/>
      <c r="AN77" s="9"/>
      <c r="AO77" s="16"/>
      <c r="AP77" s="46"/>
      <c r="AQ77" s="5"/>
      <c r="AR77" s="5"/>
      <c r="AS77" s="46"/>
      <c r="AT77" s="5"/>
      <c r="AU77" s="5"/>
      <c r="AV77" s="46"/>
      <c r="AW77" s="5"/>
      <c r="AX77" s="5"/>
      <c r="AY77" s="46"/>
      <c r="AZ77" s="16"/>
      <c r="BA77" s="16"/>
      <c r="BB77" s="17"/>
      <c r="BC77" s="16"/>
      <c r="BD77" s="16"/>
      <c r="BE77" s="218"/>
      <c r="BF77" s="16"/>
      <c r="BG77" s="9"/>
      <c r="BH77" s="16"/>
      <c r="BI77" s="46"/>
      <c r="BJ77" s="5"/>
      <c r="BK77" s="5"/>
      <c r="BL77" s="46"/>
      <c r="BM77" s="5"/>
      <c r="BN77" s="5"/>
      <c r="BO77" s="46"/>
      <c r="BP77" s="5"/>
      <c r="BQ77" s="5"/>
      <c r="BR77" s="46"/>
      <c r="BS77" s="16"/>
      <c r="BT77" s="16"/>
      <c r="BU77" s="17"/>
      <c r="BV77" s="16"/>
      <c r="BW77" s="16"/>
      <c r="BX77" s="218"/>
      <c r="BY77" s="16"/>
      <c r="BZ77" s="70"/>
      <c r="CA77" s="21"/>
      <c r="CB77" s="46"/>
      <c r="CC77" s="76"/>
      <c r="CD77" s="76"/>
      <c r="CE77" s="46"/>
      <c r="CF77" s="76"/>
      <c r="CG77" s="76"/>
      <c r="CH77" s="46"/>
      <c r="CI77" s="76"/>
      <c r="CJ77" s="76"/>
      <c r="CK77" s="46"/>
      <c r="CL77" s="21"/>
      <c r="CM77" s="21"/>
      <c r="CN77" s="17"/>
      <c r="CO77" s="16"/>
      <c r="CP77" s="16"/>
      <c r="CQ77" s="218"/>
      <c r="CR77" s="21"/>
      <c r="CS77" s="70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</row>
    <row r="78" spans="1:124" outlineLevel="1" x14ac:dyDescent="0.15">
      <c r="A78" s="235"/>
      <c r="B78" s="9"/>
      <c r="C78" s="18"/>
      <c r="D78" s="43">
        <v>0</v>
      </c>
      <c r="E78" s="5"/>
      <c r="F78" s="44"/>
      <c r="G78" s="43">
        <v>0</v>
      </c>
      <c r="H78" s="5"/>
      <c r="I78" s="44"/>
      <c r="J78" s="43">
        <v>0</v>
      </c>
      <c r="K78" s="5"/>
      <c r="L78" s="44"/>
      <c r="M78" s="43">
        <v>0</v>
      </c>
      <c r="N78" s="16"/>
      <c r="O78" s="18"/>
      <c r="P78" s="19">
        <f>SUM(D78:M78)</f>
        <v>0</v>
      </c>
      <c r="Q78" s="16"/>
      <c r="R78" s="18"/>
      <c r="S78" s="238"/>
      <c r="T78" s="16"/>
      <c r="U78" s="9"/>
      <c r="V78" s="18"/>
      <c r="W78" s="43">
        <v>0</v>
      </c>
      <c r="X78" s="5"/>
      <c r="Y78" s="44"/>
      <c r="Z78" s="43">
        <v>0</v>
      </c>
      <c r="AA78" s="5"/>
      <c r="AB78" s="44"/>
      <c r="AC78" s="43">
        <v>0</v>
      </c>
      <c r="AD78" s="5"/>
      <c r="AE78" s="44"/>
      <c r="AF78" s="43">
        <v>0</v>
      </c>
      <c r="AG78" s="16"/>
      <c r="AH78" s="18"/>
      <c r="AI78" s="19">
        <f>SUM(W78:AF78)</f>
        <v>0</v>
      </c>
      <c r="AJ78" s="16"/>
      <c r="AK78" s="18"/>
      <c r="AL78" s="238"/>
      <c r="AM78" s="16"/>
      <c r="AN78" s="9"/>
      <c r="AO78" s="18"/>
      <c r="AP78" s="43">
        <v>0</v>
      </c>
      <c r="AQ78" s="5"/>
      <c r="AR78" s="44"/>
      <c r="AS78" s="43">
        <v>0</v>
      </c>
      <c r="AT78" s="5"/>
      <c r="AU78" s="44"/>
      <c r="AV78" s="43">
        <v>0</v>
      </c>
      <c r="AW78" s="5"/>
      <c r="AX78" s="44"/>
      <c r="AY78" s="43">
        <v>0</v>
      </c>
      <c r="AZ78" s="16"/>
      <c r="BA78" s="18"/>
      <c r="BB78" s="19">
        <f>SUM(AP78:AY78)</f>
        <v>0</v>
      </c>
      <c r="BC78" s="16"/>
      <c r="BD78" s="18"/>
      <c r="BE78" s="238"/>
      <c r="BF78" s="16"/>
      <c r="BG78" s="9"/>
      <c r="BH78" s="18"/>
      <c r="BI78" s="43">
        <v>0</v>
      </c>
      <c r="BJ78" s="5"/>
      <c r="BK78" s="44"/>
      <c r="BL78" s="43">
        <v>0</v>
      </c>
      <c r="BM78" s="5"/>
      <c r="BN78" s="44"/>
      <c r="BO78" s="43">
        <v>0</v>
      </c>
      <c r="BP78" s="5"/>
      <c r="BQ78" s="44"/>
      <c r="BR78" s="43">
        <v>0</v>
      </c>
      <c r="BS78" s="16"/>
      <c r="BT78" s="18"/>
      <c r="BU78" s="19">
        <f>SUM(BI78:BR78)</f>
        <v>0</v>
      </c>
      <c r="BV78" s="16"/>
      <c r="BW78" s="18"/>
      <c r="BX78" s="238"/>
      <c r="BY78" s="16"/>
      <c r="BZ78" s="70"/>
      <c r="CA78" s="75"/>
      <c r="CB78" s="79">
        <f>+D78+W78+AP78+BI78</f>
        <v>0</v>
      </c>
      <c r="CC78" s="76"/>
      <c r="CD78" s="77"/>
      <c r="CE78" s="79">
        <f>+G78+Z78+AS78+BL78</f>
        <v>0</v>
      </c>
      <c r="CF78" s="76"/>
      <c r="CG78" s="77"/>
      <c r="CH78" s="79">
        <f>+J78+AC78+AV78+BO78</f>
        <v>0</v>
      </c>
      <c r="CI78" s="76"/>
      <c r="CJ78" s="77"/>
      <c r="CK78" s="79">
        <f>+M78+AF78+AY78+BR78</f>
        <v>0</v>
      </c>
      <c r="CL78" s="21"/>
      <c r="CM78" s="75"/>
      <c r="CN78" s="19">
        <f>SUM(CB78:CK78)</f>
        <v>0</v>
      </c>
      <c r="CO78" s="16"/>
      <c r="CP78" s="18"/>
      <c r="CQ78" s="238">
        <f>+S78+AL78+BE78+BX78</f>
        <v>0</v>
      </c>
      <c r="CR78" s="21"/>
      <c r="CS78" s="70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</row>
    <row r="79" spans="1:124" x14ac:dyDescent="0.15">
      <c r="A79" s="230"/>
      <c r="B79" s="9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21"/>
      <c r="Q79" s="16"/>
      <c r="R79" s="16"/>
      <c r="S79" s="220"/>
      <c r="T79" s="16"/>
      <c r="U79" s="9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21"/>
      <c r="AJ79" s="16"/>
      <c r="AK79" s="16"/>
      <c r="AL79" s="21"/>
      <c r="AM79" s="16"/>
      <c r="AN79" s="9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21"/>
      <c r="BC79" s="16"/>
      <c r="BD79" s="16"/>
      <c r="BE79" s="21"/>
      <c r="BF79" s="16"/>
      <c r="BG79" s="9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21"/>
      <c r="BV79" s="16"/>
      <c r="BW79" s="16"/>
      <c r="BX79" s="21"/>
      <c r="BY79" s="16"/>
      <c r="BZ79" s="70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16"/>
      <c r="CP79" s="16"/>
      <c r="CQ79" s="217"/>
      <c r="CR79" s="21"/>
      <c r="CS79" s="70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</row>
    <row r="80" spans="1:124" x14ac:dyDescent="0.1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70"/>
      <c r="CA80" s="70"/>
      <c r="CB80" s="70"/>
      <c r="CC80" s="70"/>
      <c r="CD80" s="70"/>
      <c r="CE80" s="70"/>
      <c r="CF80" s="70"/>
      <c r="CG80" s="70"/>
      <c r="CH80" s="70"/>
      <c r="CI80" s="70"/>
      <c r="CJ80" s="70"/>
      <c r="CK80" s="70"/>
      <c r="CL80" s="70"/>
      <c r="CM80" s="70"/>
      <c r="CN80" s="70"/>
      <c r="CO80" s="9"/>
      <c r="CP80" s="9"/>
      <c r="CQ80" s="9"/>
      <c r="CR80" s="70"/>
      <c r="CS80" s="70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</row>
    <row r="81" spans="1:124" x14ac:dyDescent="0.1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70"/>
      <c r="CA81" s="70"/>
      <c r="CB81" s="70"/>
      <c r="CC81" s="70"/>
      <c r="CD81" s="70"/>
      <c r="CE81" s="70"/>
      <c r="CF81" s="70"/>
      <c r="CG81" s="70"/>
      <c r="CH81" s="70"/>
      <c r="CI81" s="70"/>
      <c r="CJ81" s="70"/>
      <c r="CK81" s="70"/>
      <c r="CL81" s="70"/>
      <c r="CM81" s="70"/>
      <c r="CN81" s="70"/>
      <c r="CO81" s="9"/>
      <c r="CP81" s="9"/>
      <c r="CQ81" s="9"/>
      <c r="CR81" s="70"/>
      <c r="CS81" s="70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</row>
    <row r="82" spans="1:124" x14ac:dyDescent="0.1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70"/>
      <c r="CA82" s="70"/>
      <c r="CB82" s="70"/>
      <c r="CC82" s="70"/>
      <c r="CD82" s="70"/>
      <c r="CE82" s="70"/>
      <c r="CF82" s="70"/>
      <c r="CG82" s="70"/>
      <c r="CH82" s="70"/>
      <c r="CI82" s="70"/>
      <c r="CJ82" s="70"/>
      <c r="CK82" s="70"/>
      <c r="CL82" s="70"/>
      <c r="CM82" s="70"/>
      <c r="CN82" s="70"/>
      <c r="CO82" s="9"/>
      <c r="CP82" s="9"/>
      <c r="CQ82" s="9"/>
      <c r="CR82" s="70"/>
      <c r="CS82" s="70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</row>
    <row r="83" spans="1:124" x14ac:dyDescent="0.1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70"/>
      <c r="CA83" s="70"/>
      <c r="CB83" s="70"/>
      <c r="CC83" s="70"/>
      <c r="CD83" s="70"/>
      <c r="CE83" s="70"/>
      <c r="CF83" s="70"/>
      <c r="CG83" s="70"/>
      <c r="CH83" s="70"/>
      <c r="CI83" s="70"/>
      <c r="CJ83" s="70"/>
      <c r="CK83" s="70"/>
      <c r="CL83" s="70"/>
      <c r="CM83" s="70"/>
      <c r="CN83" s="70"/>
      <c r="CO83" s="9"/>
      <c r="CP83" s="9"/>
      <c r="CQ83" s="9"/>
      <c r="CR83" s="70"/>
      <c r="CS83" s="70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</row>
    <row r="84" spans="1:124" x14ac:dyDescent="0.1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70"/>
      <c r="CA84" s="70"/>
      <c r="CB84" s="70"/>
      <c r="CC84" s="70"/>
      <c r="CD84" s="70"/>
      <c r="CE84" s="70"/>
      <c r="CF84" s="70"/>
      <c r="CG84" s="70"/>
      <c r="CH84" s="70"/>
      <c r="CI84" s="70"/>
      <c r="CJ84" s="70"/>
      <c r="CK84" s="70"/>
      <c r="CL84" s="70"/>
      <c r="CM84" s="70"/>
      <c r="CN84" s="70"/>
      <c r="CO84" s="9"/>
      <c r="CP84" s="9"/>
      <c r="CQ84" s="9"/>
      <c r="CR84" s="70"/>
      <c r="CS84" s="70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</row>
    <row r="85" spans="1:124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70"/>
      <c r="CA85" s="70"/>
      <c r="CB85" s="70"/>
      <c r="CC85" s="70"/>
      <c r="CD85" s="70"/>
      <c r="CE85" s="70"/>
      <c r="CF85" s="70"/>
      <c r="CG85" s="70"/>
      <c r="CH85" s="70"/>
      <c r="CI85" s="70"/>
      <c r="CJ85" s="70"/>
      <c r="CK85" s="70"/>
      <c r="CL85" s="70"/>
      <c r="CM85" s="70"/>
      <c r="CN85" s="70"/>
      <c r="CO85" s="9"/>
      <c r="CP85" s="9"/>
      <c r="CQ85" s="9"/>
      <c r="CR85" s="70"/>
      <c r="CS85" s="70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</row>
    <row r="86" spans="1:124" x14ac:dyDescent="0.1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70"/>
      <c r="CA86" s="70"/>
      <c r="CB86" s="70"/>
      <c r="CC86" s="70"/>
      <c r="CD86" s="70"/>
      <c r="CE86" s="70"/>
      <c r="CF86" s="70"/>
      <c r="CG86" s="70"/>
      <c r="CH86" s="70"/>
      <c r="CI86" s="70"/>
      <c r="CJ86" s="70"/>
      <c r="CK86" s="70"/>
      <c r="CL86" s="70"/>
      <c r="CM86" s="70"/>
      <c r="CN86" s="70"/>
      <c r="CO86" s="9"/>
      <c r="CP86" s="9"/>
      <c r="CQ86" s="9"/>
      <c r="CR86" s="70"/>
      <c r="CS86" s="70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</row>
    <row r="87" spans="1:124" x14ac:dyDescent="0.1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70"/>
      <c r="CA87" s="70"/>
      <c r="CB87" s="70"/>
      <c r="CC87" s="70"/>
      <c r="CD87" s="70"/>
      <c r="CE87" s="70"/>
      <c r="CF87" s="70"/>
      <c r="CG87" s="70"/>
      <c r="CH87" s="70"/>
      <c r="CI87" s="70"/>
      <c r="CJ87" s="70"/>
      <c r="CK87" s="70"/>
      <c r="CL87" s="70"/>
      <c r="CM87" s="70"/>
      <c r="CN87" s="70"/>
      <c r="CO87" s="9"/>
      <c r="CP87" s="9"/>
      <c r="CQ87" s="9"/>
      <c r="CR87" s="70"/>
      <c r="CS87" s="70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</row>
    <row r="88" spans="1:124" x14ac:dyDescent="0.1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70"/>
      <c r="CA88" s="70"/>
      <c r="CB88" s="70"/>
      <c r="CC88" s="70"/>
      <c r="CD88" s="70"/>
      <c r="CE88" s="70"/>
      <c r="CF88" s="70"/>
      <c r="CG88" s="70"/>
      <c r="CH88" s="70"/>
      <c r="CI88" s="70"/>
      <c r="CJ88" s="70"/>
      <c r="CK88" s="70"/>
      <c r="CL88" s="70"/>
      <c r="CM88" s="70"/>
      <c r="CN88" s="70"/>
      <c r="CO88" s="9"/>
      <c r="CP88" s="9"/>
      <c r="CQ88" s="9"/>
      <c r="CR88" s="70"/>
      <c r="CS88" s="70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</row>
    <row r="89" spans="1:124" x14ac:dyDescent="0.1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70"/>
      <c r="CA89" s="70"/>
      <c r="CB89" s="70"/>
      <c r="CC89" s="70"/>
      <c r="CD89" s="70"/>
      <c r="CE89" s="70"/>
      <c r="CF89" s="70"/>
      <c r="CG89" s="70"/>
      <c r="CH89" s="70"/>
      <c r="CI89" s="70"/>
      <c r="CJ89" s="70"/>
      <c r="CK89" s="70"/>
      <c r="CL89" s="70"/>
      <c r="CM89" s="70"/>
      <c r="CN89" s="70"/>
      <c r="CO89" s="9"/>
      <c r="CP89" s="9"/>
      <c r="CQ89" s="9"/>
      <c r="CR89" s="70"/>
      <c r="CS89" s="70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</row>
    <row r="90" spans="1:124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70"/>
      <c r="CA90" s="70"/>
      <c r="CB90" s="70"/>
      <c r="CC90" s="70"/>
      <c r="CD90" s="70"/>
      <c r="CE90" s="70"/>
      <c r="CF90" s="70"/>
      <c r="CG90" s="70"/>
      <c r="CH90" s="70"/>
      <c r="CI90" s="70"/>
      <c r="CJ90" s="70"/>
      <c r="CK90" s="70"/>
      <c r="CL90" s="70"/>
      <c r="CM90" s="70"/>
      <c r="CN90" s="70"/>
      <c r="CO90" s="9"/>
      <c r="CP90" s="9"/>
      <c r="CQ90" s="9"/>
      <c r="CR90" s="70"/>
      <c r="CS90" s="70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</row>
    <row r="91" spans="1:124" x14ac:dyDescent="0.1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70"/>
      <c r="CA91" s="70"/>
      <c r="CB91" s="70"/>
      <c r="CC91" s="70"/>
      <c r="CD91" s="70"/>
      <c r="CE91" s="70"/>
      <c r="CF91" s="70"/>
      <c r="CG91" s="70"/>
      <c r="CH91" s="70"/>
      <c r="CI91" s="70"/>
      <c r="CJ91" s="70"/>
      <c r="CK91" s="70"/>
      <c r="CL91" s="70"/>
      <c r="CM91" s="70"/>
      <c r="CN91" s="70"/>
      <c r="CO91" s="9"/>
      <c r="CP91" s="9"/>
      <c r="CQ91" s="9"/>
      <c r="CR91" s="70"/>
      <c r="CS91" s="70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</row>
    <row r="92" spans="1:124" x14ac:dyDescent="0.1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70"/>
      <c r="CA92" s="70"/>
      <c r="CB92" s="70"/>
      <c r="CC92" s="70"/>
      <c r="CD92" s="70"/>
      <c r="CE92" s="70"/>
      <c r="CF92" s="70"/>
      <c r="CG92" s="70"/>
      <c r="CH92" s="70"/>
      <c r="CI92" s="70"/>
      <c r="CJ92" s="70"/>
      <c r="CK92" s="70"/>
      <c r="CL92" s="70"/>
      <c r="CM92" s="70"/>
      <c r="CN92" s="70"/>
      <c r="CO92" s="9"/>
      <c r="CP92" s="9"/>
      <c r="CQ92" s="9"/>
      <c r="CR92" s="70"/>
      <c r="CS92" s="70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</row>
    <row r="93" spans="1:124" x14ac:dyDescent="0.1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70"/>
      <c r="CA93" s="70"/>
      <c r="CB93" s="70"/>
      <c r="CC93" s="70"/>
      <c r="CD93" s="70"/>
      <c r="CE93" s="70"/>
      <c r="CF93" s="70"/>
      <c r="CG93" s="70"/>
      <c r="CH93" s="70"/>
      <c r="CI93" s="70"/>
      <c r="CJ93" s="70"/>
      <c r="CK93" s="70"/>
      <c r="CL93" s="70"/>
      <c r="CM93" s="70"/>
      <c r="CN93" s="70"/>
      <c r="CO93" s="9"/>
      <c r="CP93" s="9"/>
      <c r="CQ93" s="9"/>
      <c r="CR93" s="70"/>
      <c r="CS93" s="70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</row>
    <row r="94" spans="1:124" x14ac:dyDescent="0.1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70"/>
      <c r="CA94" s="70"/>
      <c r="CB94" s="70"/>
      <c r="CC94" s="70"/>
      <c r="CD94" s="70"/>
      <c r="CE94" s="70"/>
      <c r="CF94" s="70"/>
      <c r="CG94" s="70"/>
      <c r="CH94" s="70"/>
      <c r="CI94" s="70"/>
      <c r="CJ94" s="70"/>
      <c r="CK94" s="70"/>
      <c r="CL94" s="70"/>
      <c r="CM94" s="70"/>
      <c r="CN94" s="70"/>
      <c r="CO94" s="9"/>
      <c r="CP94" s="9"/>
      <c r="CQ94" s="9"/>
      <c r="CR94" s="70"/>
      <c r="CS94" s="70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</row>
    <row r="95" spans="1:124" x14ac:dyDescent="0.1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70"/>
      <c r="CA95" s="70"/>
      <c r="CB95" s="70"/>
      <c r="CC95" s="70"/>
      <c r="CD95" s="70"/>
      <c r="CE95" s="70"/>
      <c r="CF95" s="70"/>
      <c r="CG95" s="70"/>
      <c r="CH95" s="70"/>
      <c r="CI95" s="70"/>
      <c r="CJ95" s="70"/>
      <c r="CK95" s="70"/>
      <c r="CL95" s="70"/>
      <c r="CM95" s="70"/>
      <c r="CN95" s="70"/>
      <c r="CO95" s="9"/>
      <c r="CP95" s="9"/>
      <c r="CQ95" s="9"/>
      <c r="CR95" s="70"/>
      <c r="CS95" s="70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</row>
    <row r="96" spans="1:124" x14ac:dyDescent="0.1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70"/>
      <c r="CA96" s="70"/>
      <c r="CB96" s="70"/>
      <c r="CC96" s="70"/>
      <c r="CD96" s="70"/>
      <c r="CE96" s="70"/>
      <c r="CF96" s="70"/>
      <c r="CG96" s="70"/>
      <c r="CH96" s="70"/>
      <c r="CI96" s="70"/>
      <c r="CJ96" s="70"/>
      <c r="CK96" s="70"/>
      <c r="CL96" s="70"/>
      <c r="CM96" s="70"/>
      <c r="CN96" s="70"/>
      <c r="CO96" s="9"/>
      <c r="CP96" s="9"/>
      <c r="CQ96" s="9"/>
      <c r="CR96" s="70"/>
      <c r="CS96" s="70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</row>
    <row r="97" spans="1:124" x14ac:dyDescent="0.1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70"/>
      <c r="CA97" s="70"/>
      <c r="CB97" s="70"/>
      <c r="CC97" s="70"/>
      <c r="CD97" s="70"/>
      <c r="CE97" s="70"/>
      <c r="CF97" s="70"/>
      <c r="CG97" s="70"/>
      <c r="CH97" s="70"/>
      <c r="CI97" s="70"/>
      <c r="CJ97" s="70"/>
      <c r="CK97" s="70"/>
      <c r="CL97" s="70"/>
      <c r="CM97" s="70"/>
      <c r="CN97" s="70"/>
      <c r="CO97" s="9"/>
      <c r="CP97" s="9"/>
      <c r="CQ97" s="9"/>
      <c r="CR97" s="70"/>
      <c r="CS97" s="70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</row>
    <row r="98" spans="1:124" x14ac:dyDescent="0.1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70"/>
      <c r="CA98" s="70"/>
      <c r="CB98" s="70"/>
      <c r="CC98" s="70"/>
      <c r="CD98" s="70"/>
      <c r="CE98" s="70"/>
      <c r="CF98" s="70"/>
      <c r="CG98" s="70"/>
      <c r="CH98" s="70"/>
      <c r="CI98" s="70"/>
      <c r="CJ98" s="70"/>
      <c r="CK98" s="70"/>
      <c r="CL98" s="70"/>
      <c r="CM98" s="70"/>
      <c r="CN98" s="70"/>
      <c r="CO98" s="9"/>
      <c r="CP98" s="9"/>
      <c r="CQ98" s="9"/>
      <c r="CR98" s="70"/>
      <c r="CS98" s="70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</row>
    <row r="99" spans="1:124" x14ac:dyDescent="0.1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70"/>
      <c r="CA99" s="70"/>
      <c r="CB99" s="70"/>
      <c r="CC99" s="70"/>
      <c r="CD99" s="70"/>
      <c r="CE99" s="70"/>
      <c r="CF99" s="70"/>
      <c r="CG99" s="70"/>
      <c r="CH99" s="70"/>
      <c r="CI99" s="70"/>
      <c r="CJ99" s="70"/>
      <c r="CK99" s="70"/>
      <c r="CL99" s="70"/>
      <c r="CM99" s="70"/>
      <c r="CN99" s="70"/>
      <c r="CO99" s="9"/>
      <c r="CP99" s="9"/>
      <c r="CQ99" s="9"/>
      <c r="CR99" s="70"/>
      <c r="CS99" s="70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</row>
  </sheetData>
  <sheetProtection autoFilter="0"/>
  <mergeCells count="11">
    <mergeCell ref="A2:A6"/>
    <mergeCell ref="D2:S2"/>
    <mergeCell ref="D4:S4"/>
    <mergeCell ref="W2:AL2"/>
    <mergeCell ref="W4:AL4"/>
    <mergeCell ref="CB2:CQ2"/>
    <mergeCell ref="CB4:CQ4"/>
    <mergeCell ref="AP2:BE2"/>
    <mergeCell ref="AP4:BE4"/>
    <mergeCell ref="BI2:BX2"/>
    <mergeCell ref="BI4:BX4"/>
  </mergeCells>
  <phoneticPr fontId="0" type="noConversion"/>
  <printOptions horizontalCentered="1"/>
  <pageMargins left="0" right="0" top="0.59055118110236227" bottom="0.19685039370078741" header="0.19685039370078741" footer="0.19685039370078741"/>
  <pageSetup paperSize="9" scale="42" fitToWidth="3" orientation="landscape" r:id="rId1"/>
  <headerFooter>
    <oddHeader>&amp;L&amp;F&amp;R&amp;A</oddHeader>
    <oddFooter>&amp;CPágina &amp;P de &amp;N</oddFooter>
  </headerFooter>
  <colBreaks count="2" manualBreakCount="2">
    <brk id="40" max="78" man="1"/>
    <brk id="78" max="78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0">
    <tabColor indexed="53"/>
  </sheetPr>
  <dimension ref="A1:CD83"/>
  <sheetViews>
    <sheetView zoomScale="75" zoomScaleNormal="85" zoomScaleSheetLayoutView="55" zoomScalePageLayoutView="85" workbookViewId="0">
      <pane xSplit="2" ySplit="10" topLeftCell="C11" activePane="bottomRight" state="frozen"/>
      <selection activeCell="W79" sqref="W79"/>
      <selection pane="topRight" activeCell="W79" sqref="W79"/>
      <selection pane="bottomLeft" activeCell="W79" sqref="W79"/>
      <selection pane="bottomRight" activeCell="M61" sqref="M61"/>
    </sheetView>
  </sheetViews>
  <sheetFormatPr baseColWidth="10" defaultColWidth="9.1640625" defaultRowHeight="13" outlineLevelCol="1" x14ac:dyDescent="0.15"/>
  <cols>
    <col min="1" max="1" width="35.5" customWidth="1"/>
    <col min="2" max="2" width="2.5" customWidth="1"/>
    <col min="3" max="3" width="2.6640625" customWidth="1" outlineLevel="1"/>
    <col min="4" max="4" width="16.33203125" customWidth="1" outlineLevel="1"/>
    <col min="5" max="6" width="2.6640625" customWidth="1" outlineLevel="1"/>
    <col min="7" max="7" width="16.33203125" customWidth="1" outlineLevel="1"/>
    <col min="8" max="9" width="2.6640625" customWidth="1" outlineLevel="1"/>
    <col min="10" max="10" width="16.33203125" customWidth="1" outlineLevel="1"/>
    <col min="11" max="12" width="2.6640625" customWidth="1" outlineLevel="1"/>
    <col min="13" max="13" width="17" bestFit="1" customWidth="1" outlineLevel="1"/>
    <col min="14" max="14" width="2.6640625" customWidth="1" outlineLevel="1"/>
    <col min="15" max="15" width="2.6640625" customWidth="1"/>
    <col min="16" max="16" width="17" bestFit="1" customWidth="1"/>
    <col min="17" max="17" width="2.6640625" customWidth="1"/>
    <col min="18" max="18" width="2.5" customWidth="1"/>
    <col min="19" max="19" width="2.6640625" customWidth="1" outlineLevel="1"/>
    <col min="20" max="20" width="16.33203125" customWidth="1" outlineLevel="1"/>
    <col min="21" max="22" width="2.6640625" customWidth="1" outlineLevel="1"/>
    <col min="23" max="23" width="16.33203125" customWidth="1" outlineLevel="1"/>
    <col min="24" max="25" width="2.6640625" customWidth="1" outlineLevel="1"/>
    <col min="26" max="26" width="16.33203125" customWidth="1" outlineLevel="1"/>
    <col min="27" max="28" width="2.6640625" customWidth="1" outlineLevel="1"/>
    <col min="29" max="29" width="16.33203125" customWidth="1" outlineLevel="1"/>
    <col min="30" max="30" width="2.6640625" customWidth="1" outlineLevel="1"/>
    <col min="31" max="31" width="2.6640625" customWidth="1"/>
    <col min="32" max="32" width="16.33203125" customWidth="1"/>
    <col min="33" max="33" width="2.6640625" customWidth="1"/>
    <col min="34" max="34" width="2.5" customWidth="1"/>
    <col min="35" max="35" width="2.6640625" customWidth="1" outlineLevel="1"/>
    <col min="36" max="36" width="16.33203125" customWidth="1" outlineLevel="1"/>
    <col min="37" max="38" width="2.6640625" customWidth="1" outlineLevel="1"/>
    <col min="39" max="39" width="16.33203125" customWidth="1" outlineLevel="1"/>
    <col min="40" max="41" width="2.6640625" customWidth="1" outlineLevel="1"/>
    <col min="42" max="42" width="16.33203125" customWidth="1" outlineLevel="1"/>
    <col min="43" max="44" width="2.6640625" customWidth="1" outlineLevel="1"/>
    <col min="45" max="45" width="16.33203125" customWidth="1" outlineLevel="1"/>
    <col min="46" max="46" width="2.6640625" customWidth="1" outlineLevel="1"/>
    <col min="47" max="47" width="2.6640625" customWidth="1"/>
    <col min="48" max="48" width="16.33203125" customWidth="1"/>
    <col min="49" max="49" width="2.6640625" customWidth="1"/>
    <col min="50" max="50" width="2.5" customWidth="1"/>
    <col min="51" max="51" width="2.6640625" customWidth="1" outlineLevel="1"/>
    <col min="52" max="52" width="16.33203125" customWidth="1" outlineLevel="1"/>
    <col min="53" max="54" width="2.6640625" customWidth="1" outlineLevel="1"/>
    <col min="55" max="55" width="16.33203125" customWidth="1" outlineLevel="1"/>
    <col min="56" max="57" width="2.6640625" customWidth="1" outlineLevel="1"/>
    <col min="58" max="58" width="16.33203125" customWidth="1" outlineLevel="1"/>
    <col min="59" max="60" width="2.6640625" customWidth="1" outlineLevel="1"/>
    <col min="61" max="61" width="16.33203125" customWidth="1" outlineLevel="1"/>
    <col min="62" max="62" width="2.6640625" customWidth="1" outlineLevel="1"/>
    <col min="63" max="63" width="2.6640625" customWidth="1"/>
    <col min="64" max="64" width="16.33203125" customWidth="1"/>
    <col min="65" max="65" width="2.6640625" customWidth="1"/>
    <col min="66" max="66" width="2.5" style="78" customWidth="1"/>
    <col min="67" max="67" width="2.6640625" style="78" customWidth="1" outlineLevel="1"/>
    <col min="68" max="68" width="16.33203125" style="78" customWidth="1" outlineLevel="1"/>
    <col min="69" max="70" width="2.6640625" style="78" customWidth="1" outlineLevel="1"/>
    <col min="71" max="71" width="16.33203125" style="78" customWidth="1" outlineLevel="1"/>
    <col min="72" max="73" width="2.6640625" style="78" customWidth="1" outlineLevel="1"/>
    <col min="74" max="74" width="16.33203125" style="78" customWidth="1" outlineLevel="1"/>
    <col min="75" max="76" width="2.6640625" style="78" customWidth="1" outlineLevel="1"/>
    <col min="77" max="77" width="16.33203125" style="78" customWidth="1" outlineLevel="1"/>
    <col min="78" max="78" width="2.6640625" style="78" customWidth="1" outlineLevel="1"/>
    <col min="79" max="79" width="2.6640625" style="78" customWidth="1"/>
    <col min="80" max="80" width="22.83203125" style="78" customWidth="1"/>
    <col min="81" max="81" width="2.6640625" style="78" customWidth="1"/>
    <col min="82" max="82" width="2.5" style="78" customWidth="1"/>
  </cols>
  <sheetData>
    <row r="1" spans="1:82" ht="16" x14ac:dyDescent="0.2">
      <c r="A1" s="167"/>
      <c r="B1" s="9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9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9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9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70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70"/>
    </row>
    <row r="2" spans="1:82" ht="15.75" customHeight="1" x14ac:dyDescent="0.2">
      <c r="A2" s="324" t="s">
        <v>49</v>
      </c>
      <c r="B2" s="9"/>
      <c r="C2" s="6"/>
      <c r="D2" s="322" t="s">
        <v>31</v>
      </c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6"/>
      <c r="R2" s="9"/>
      <c r="S2" s="3"/>
      <c r="T2" s="323" t="s">
        <v>34</v>
      </c>
      <c r="U2" s="323"/>
      <c r="V2" s="323"/>
      <c r="W2" s="323"/>
      <c r="X2" s="323"/>
      <c r="Y2" s="323"/>
      <c r="Z2" s="323"/>
      <c r="AA2" s="323"/>
      <c r="AB2" s="323"/>
      <c r="AC2" s="323"/>
      <c r="AD2" s="323"/>
      <c r="AE2" s="323"/>
      <c r="AF2" s="323"/>
      <c r="AG2" s="3"/>
      <c r="AH2" s="9"/>
      <c r="AI2" s="6"/>
      <c r="AJ2" s="322" t="s">
        <v>35</v>
      </c>
      <c r="AK2" s="322"/>
      <c r="AL2" s="322"/>
      <c r="AM2" s="322"/>
      <c r="AN2" s="322"/>
      <c r="AO2" s="322"/>
      <c r="AP2" s="322"/>
      <c r="AQ2" s="322"/>
      <c r="AR2" s="322"/>
      <c r="AS2" s="322"/>
      <c r="AT2" s="322"/>
      <c r="AU2" s="322"/>
      <c r="AV2" s="322"/>
      <c r="AW2" s="6"/>
      <c r="AX2" s="9"/>
      <c r="AY2" s="3"/>
      <c r="AZ2" s="323" t="s">
        <v>36</v>
      </c>
      <c r="BA2" s="323"/>
      <c r="BB2" s="323"/>
      <c r="BC2" s="323"/>
      <c r="BD2" s="323"/>
      <c r="BE2" s="323"/>
      <c r="BF2" s="323"/>
      <c r="BG2" s="323"/>
      <c r="BH2" s="323"/>
      <c r="BI2" s="323"/>
      <c r="BJ2" s="323"/>
      <c r="BK2" s="323"/>
      <c r="BL2" s="323"/>
      <c r="BM2" s="3"/>
      <c r="BN2" s="70"/>
      <c r="BO2" s="6"/>
      <c r="BP2" s="322" t="s">
        <v>50</v>
      </c>
      <c r="BQ2" s="322"/>
      <c r="BR2" s="322"/>
      <c r="BS2" s="322"/>
      <c r="BT2" s="322"/>
      <c r="BU2" s="322"/>
      <c r="BV2" s="322"/>
      <c r="BW2" s="322"/>
      <c r="BX2" s="322"/>
      <c r="BY2" s="322"/>
      <c r="BZ2" s="322"/>
      <c r="CA2" s="322"/>
      <c r="CB2" s="322"/>
      <c r="CC2" s="6"/>
      <c r="CD2" s="70"/>
    </row>
    <row r="3" spans="1:82" ht="15.75" customHeight="1" x14ac:dyDescent="0.15">
      <c r="A3" s="324"/>
      <c r="B3" s="9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9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9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9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70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70"/>
    </row>
    <row r="4" spans="1:82" ht="14.25" customHeight="1" x14ac:dyDescent="0.15">
      <c r="A4" s="324"/>
      <c r="B4" s="9"/>
      <c r="C4" s="6"/>
      <c r="D4" s="318" t="s">
        <v>86</v>
      </c>
      <c r="E4" s="318"/>
      <c r="F4" s="318"/>
      <c r="G4" s="318"/>
      <c r="H4" s="318"/>
      <c r="I4" s="318"/>
      <c r="J4" s="318"/>
      <c r="K4" s="318"/>
      <c r="L4" s="318"/>
      <c r="M4" s="318"/>
      <c r="N4" s="318"/>
      <c r="O4" s="318"/>
      <c r="P4" s="318"/>
      <c r="Q4" s="6"/>
      <c r="R4" s="9"/>
      <c r="S4" s="3"/>
      <c r="T4" s="318" t="str">
        <f>+Definición!C11</f>
        <v>[Nombre ]</v>
      </c>
      <c r="U4" s="318"/>
      <c r="V4" s="318"/>
      <c r="W4" s="318"/>
      <c r="X4" s="318"/>
      <c r="Y4" s="318"/>
      <c r="Z4" s="318"/>
      <c r="AA4" s="318"/>
      <c r="AB4" s="318"/>
      <c r="AC4" s="318"/>
      <c r="AD4" s="318"/>
      <c r="AE4" s="318"/>
      <c r="AF4" s="318"/>
      <c r="AG4" s="3"/>
      <c r="AH4" s="9"/>
      <c r="AI4" s="6"/>
      <c r="AJ4" s="318" t="str">
        <f>+Definición!C18</f>
        <v>[Nombre ]</v>
      </c>
      <c r="AK4" s="318"/>
      <c r="AL4" s="318"/>
      <c r="AM4" s="318"/>
      <c r="AN4" s="318"/>
      <c r="AO4" s="318"/>
      <c r="AP4" s="318"/>
      <c r="AQ4" s="318"/>
      <c r="AR4" s="318"/>
      <c r="AS4" s="318"/>
      <c r="AT4" s="318"/>
      <c r="AU4" s="318"/>
      <c r="AV4" s="318"/>
      <c r="AW4" s="6"/>
      <c r="AX4" s="9"/>
      <c r="AY4" s="3"/>
      <c r="AZ4" s="318" t="str">
        <f>+Definición!C25</f>
        <v>[Nombre ]</v>
      </c>
      <c r="BA4" s="318"/>
      <c r="BB4" s="318"/>
      <c r="BC4" s="318"/>
      <c r="BD4" s="318"/>
      <c r="BE4" s="318"/>
      <c r="BF4" s="318"/>
      <c r="BG4" s="318"/>
      <c r="BH4" s="318"/>
      <c r="BI4" s="318"/>
      <c r="BJ4" s="318"/>
      <c r="BK4" s="318"/>
      <c r="BL4" s="318"/>
      <c r="BM4" s="3"/>
      <c r="BN4" s="70"/>
      <c r="BO4" s="6"/>
      <c r="BP4" s="318" t="str">
        <f>+Definición!C2</f>
        <v>TRIPMATE</v>
      </c>
      <c r="BQ4" s="318"/>
      <c r="BR4" s="318"/>
      <c r="BS4" s="318"/>
      <c r="BT4" s="318"/>
      <c r="BU4" s="318"/>
      <c r="BV4" s="318"/>
      <c r="BW4" s="318"/>
      <c r="BX4" s="318"/>
      <c r="BY4" s="318"/>
      <c r="BZ4" s="318"/>
      <c r="CA4" s="318"/>
      <c r="CB4" s="318"/>
      <c r="CC4" s="6"/>
      <c r="CD4" s="70"/>
    </row>
    <row r="5" spans="1:82" ht="12.75" customHeight="1" x14ac:dyDescent="0.15">
      <c r="A5" s="324"/>
      <c r="B5" s="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9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9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9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70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70"/>
    </row>
    <row r="6" spans="1:82" ht="16" x14ac:dyDescent="0.2">
      <c r="A6" s="324"/>
      <c r="B6" s="9"/>
      <c r="C6" s="122"/>
      <c r="D6" s="123" t="s">
        <v>0</v>
      </c>
      <c r="E6" s="123"/>
      <c r="F6" s="123"/>
      <c r="G6" s="123" t="s">
        <v>1</v>
      </c>
      <c r="H6" s="123"/>
      <c r="I6" s="123"/>
      <c r="J6" s="123" t="s">
        <v>2</v>
      </c>
      <c r="K6" s="123"/>
      <c r="L6" s="123"/>
      <c r="M6" s="123" t="s">
        <v>3</v>
      </c>
      <c r="N6" s="124"/>
      <c r="O6" s="123"/>
      <c r="P6" s="123" t="s">
        <v>39</v>
      </c>
      <c r="Q6" s="122"/>
      <c r="R6" s="9"/>
      <c r="S6" s="108"/>
      <c r="T6" s="125" t="s">
        <v>0</v>
      </c>
      <c r="U6" s="125"/>
      <c r="V6" s="125"/>
      <c r="W6" s="125" t="s">
        <v>1</v>
      </c>
      <c r="X6" s="125"/>
      <c r="Y6" s="125"/>
      <c r="Z6" s="125" t="s">
        <v>2</v>
      </c>
      <c r="AA6" s="125"/>
      <c r="AB6" s="125"/>
      <c r="AC6" s="125" t="s">
        <v>3</v>
      </c>
      <c r="AD6" s="126"/>
      <c r="AE6" s="125"/>
      <c r="AF6" s="125" t="s">
        <v>39</v>
      </c>
      <c r="AG6" s="108"/>
      <c r="AH6" s="9"/>
      <c r="AI6" s="122"/>
      <c r="AJ6" s="123" t="s">
        <v>0</v>
      </c>
      <c r="AK6" s="123"/>
      <c r="AL6" s="123"/>
      <c r="AM6" s="123" t="s">
        <v>1</v>
      </c>
      <c r="AN6" s="123"/>
      <c r="AO6" s="123"/>
      <c r="AP6" s="123" t="s">
        <v>2</v>
      </c>
      <c r="AQ6" s="123"/>
      <c r="AR6" s="123"/>
      <c r="AS6" s="123" t="s">
        <v>3</v>
      </c>
      <c r="AT6" s="124"/>
      <c r="AU6" s="123"/>
      <c r="AV6" s="123" t="s">
        <v>39</v>
      </c>
      <c r="AW6" s="122"/>
      <c r="AX6" s="9"/>
      <c r="AY6" s="108"/>
      <c r="AZ6" s="125" t="s">
        <v>0</v>
      </c>
      <c r="BA6" s="125"/>
      <c r="BB6" s="125"/>
      <c r="BC6" s="125" t="s">
        <v>1</v>
      </c>
      <c r="BD6" s="125"/>
      <c r="BE6" s="125"/>
      <c r="BF6" s="125" t="s">
        <v>2</v>
      </c>
      <c r="BG6" s="125"/>
      <c r="BH6" s="125"/>
      <c r="BI6" s="125" t="s">
        <v>3</v>
      </c>
      <c r="BJ6" s="126"/>
      <c r="BK6" s="125"/>
      <c r="BL6" s="125" t="s">
        <v>39</v>
      </c>
      <c r="BM6" s="108"/>
      <c r="BN6" s="70"/>
      <c r="BO6" s="122"/>
      <c r="BP6" s="123" t="s">
        <v>0</v>
      </c>
      <c r="BQ6" s="123"/>
      <c r="BR6" s="123"/>
      <c r="BS6" s="123" t="s">
        <v>1</v>
      </c>
      <c r="BT6" s="123"/>
      <c r="BU6" s="123"/>
      <c r="BV6" s="123" t="s">
        <v>2</v>
      </c>
      <c r="BW6" s="123"/>
      <c r="BX6" s="123"/>
      <c r="BY6" s="123" t="s">
        <v>3</v>
      </c>
      <c r="BZ6" s="124"/>
      <c r="CA6" s="123"/>
      <c r="CB6" s="123" t="s">
        <v>39</v>
      </c>
      <c r="CC6" s="122"/>
      <c r="CD6" s="70"/>
    </row>
    <row r="7" spans="1:82" x14ac:dyDescent="0.15">
      <c r="A7" s="168"/>
      <c r="B7" s="9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9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9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9"/>
      <c r="AY7" s="108"/>
      <c r="AZ7" s="108"/>
      <c r="BA7" s="108"/>
      <c r="BB7" s="108"/>
      <c r="BC7" s="108"/>
      <c r="BD7" s="108"/>
      <c r="BE7" s="108"/>
      <c r="BF7" s="108"/>
      <c r="BG7" s="108"/>
      <c r="BH7" s="108"/>
      <c r="BI7" s="108"/>
      <c r="BJ7" s="108"/>
      <c r="BK7" s="108"/>
      <c r="BL7" s="108"/>
      <c r="BM7" s="108"/>
      <c r="BN7" s="70"/>
      <c r="BO7" s="122"/>
      <c r="BP7" s="122"/>
      <c r="BQ7" s="122"/>
      <c r="BR7" s="122"/>
      <c r="BS7" s="122"/>
      <c r="BT7" s="122"/>
      <c r="BU7" s="122"/>
      <c r="BV7" s="122"/>
      <c r="BW7" s="122"/>
      <c r="BX7" s="122"/>
      <c r="BY7" s="122"/>
      <c r="BZ7" s="122"/>
      <c r="CA7" s="122"/>
      <c r="CB7" s="122"/>
      <c r="CC7" s="122"/>
      <c r="CD7" s="70"/>
    </row>
    <row r="8" spans="1:82" x14ac:dyDescent="0.15">
      <c r="A8" s="87"/>
      <c r="B8" s="9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9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9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9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8"/>
      <c r="BM8" s="108"/>
      <c r="BN8" s="9"/>
      <c r="BO8" s="108"/>
      <c r="BP8" s="108"/>
      <c r="BQ8" s="108"/>
      <c r="BR8" s="108"/>
      <c r="BS8" s="108"/>
      <c r="BT8" s="108"/>
      <c r="BU8" s="108"/>
      <c r="BV8" s="108"/>
      <c r="BW8" s="108"/>
      <c r="BX8" s="108"/>
      <c r="BY8" s="108"/>
      <c r="BZ8" s="108"/>
      <c r="CA8" s="108"/>
      <c r="CB8" s="108"/>
      <c r="CC8" s="108"/>
      <c r="CD8" s="9"/>
    </row>
    <row r="9" spans="1:82" s="146" customFormat="1" ht="30" customHeight="1" x14ac:dyDescent="0.15">
      <c r="A9" s="166" t="s">
        <v>57</v>
      </c>
      <c r="B9" s="136"/>
      <c r="C9" s="158"/>
      <c r="D9" s="159">
        <f>+D12+D35+D58</f>
        <v>449000</v>
      </c>
      <c r="E9" s="160"/>
      <c r="F9" s="161"/>
      <c r="G9" s="159">
        <f>+G12+G35+G58</f>
        <v>2469000</v>
      </c>
      <c r="H9" s="160"/>
      <c r="I9" s="161"/>
      <c r="J9" s="159">
        <f>+J12+J35+J58</f>
        <v>3119000</v>
      </c>
      <c r="K9" s="160"/>
      <c r="L9" s="161"/>
      <c r="M9" s="159">
        <f>+M12+M35+M58</f>
        <v>7089000</v>
      </c>
      <c r="N9" s="162"/>
      <c r="O9" s="161"/>
      <c r="P9" s="157">
        <f>SUM(P11:P80)/2</f>
        <v>13126000</v>
      </c>
      <c r="Q9" s="162"/>
      <c r="R9" s="136"/>
      <c r="S9" s="158"/>
      <c r="T9" s="159">
        <f>+T12+T35+T58</f>
        <v>0</v>
      </c>
      <c r="U9" s="160"/>
      <c r="V9" s="161"/>
      <c r="W9" s="159">
        <f>+W12+W35+W58</f>
        <v>0</v>
      </c>
      <c r="X9" s="160"/>
      <c r="Y9" s="161"/>
      <c r="Z9" s="159">
        <f>+Z12+Z35+Z58</f>
        <v>0</v>
      </c>
      <c r="AA9" s="160"/>
      <c r="AB9" s="161"/>
      <c r="AC9" s="159">
        <f>+AC12+AC35+AC58</f>
        <v>0</v>
      </c>
      <c r="AD9" s="162"/>
      <c r="AE9" s="161"/>
      <c r="AF9" s="157">
        <f>SUM(AF11:AF80)/2</f>
        <v>0</v>
      </c>
      <c r="AG9" s="162"/>
      <c r="AH9" s="136"/>
      <c r="AI9" s="158"/>
      <c r="AJ9" s="159">
        <f>+AJ12+AJ35+AJ58</f>
        <v>0</v>
      </c>
      <c r="AK9" s="160"/>
      <c r="AL9" s="161"/>
      <c r="AM9" s="159">
        <f>+AM12+AM35+AM58</f>
        <v>0</v>
      </c>
      <c r="AN9" s="160"/>
      <c r="AO9" s="161"/>
      <c r="AP9" s="159">
        <f>+AP12+AP35+AP58</f>
        <v>0</v>
      </c>
      <c r="AQ9" s="160"/>
      <c r="AR9" s="161"/>
      <c r="AS9" s="159">
        <f>+AS12+AS35+AS58</f>
        <v>0</v>
      </c>
      <c r="AT9" s="162"/>
      <c r="AU9" s="161"/>
      <c r="AV9" s="157">
        <f>SUM(AV11:AV80)/2</f>
        <v>0</v>
      </c>
      <c r="AW9" s="162"/>
      <c r="AX9" s="136"/>
      <c r="AY9" s="158"/>
      <c r="AZ9" s="159">
        <f>+AZ12+AZ35+AZ58</f>
        <v>0</v>
      </c>
      <c r="BA9" s="160"/>
      <c r="BB9" s="161"/>
      <c r="BC9" s="159">
        <f>+BC12+BC35+BC58</f>
        <v>0</v>
      </c>
      <c r="BD9" s="160"/>
      <c r="BE9" s="161"/>
      <c r="BF9" s="159">
        <f>+BF12+BF35+BF58</f>
        <v>0</v>
      </c>
      <c r="BG9" s="160"/>
      <c r="BH9" s="161"/>
      <c r="BI9" s="159">
        <f>+BI12+BI35+BI58</f>
        <v>0</v>
      </c>
      <c r="BJ9" s="162"/>
      <c r="BK9" s="161"/>
      <c r="BL9" s="157">
        <f>SUM(BL11:BL80)/2</f>
        <v>0</v>
      </c>
      <c r="BM9" s="162"/>
      <c r="BN9" s="136"/>
      <c r="BO9" s="158"/>
      <c r="BP9" s="159">
        <f>+BP12+BP35+BP58</f>
        <v>449000</v>
      </c>
      <c r="BQ9" s="160"/>
      <c r="BR9" s="161"/>
      <c r="BS9" s="159">
        <f>+BS12+BS35+BS58</f>
        <v>2469000</v>
      </c>
      <c r="BT9" s="160"/>
      <c r="BU9" s="161"/>
      <c r="BV9" s="159">
        <f>+BV12+BV35+BV58</f>
        <v>3119000</v>
      </c>
      <c r="BW9" s="160"/>
      <c r="BX9" s="161"/>
      <c r="BY9" s="159">
        <f>+BY12+BY35+BY58</f>
        <v>7089000</v>
      </c>
      <c r="BZ9" s="162"/>
      <c r="CA9" s="161"/>
      <c r="CB9" s="157">
        <f>SUM(CB11:CB80)/2</f>
        <v>13126000</v>
      </c>
      <c r="CC9" s="162"/>
      <c r="CD9" s="136"/>
    </row>
    <row r="10" spans="1:82" ht="14" thickBot="1" x14ac:dyDescent="0.2">
      <c r="A10" s="165"/>
      <c r="B10" s="9"/>
      <c r="C10" s="163"/>
      <c r="D10" s="164"/>
      <c r="E10" s="163"/>
      <c r="F10" s="163"/>
      <c r="G10" s="164"/>
      <c r="H10" s="163"/>
      <c r="I10" s="163"/>
      <c r="J10" s="164"/>
      <c r="K10" s="163"/>
      <c r="L10" s="163"/>
      <c r="M10" s="164"/>
      <c r="N10" s="163"/>
      <c r="O10" s="163"/>
      <c r="P10" s="164"/>
      <c r="Q10" s="163"/>
      <c r="R10" s="133"/>
      <c r="S10" s="163"/>
      <c r="T10" s="164"/>
      <c r="U10" s="163"/>
      <c r="V10" s="163"/>
      <c r="W10" s="164"/>
      <c r="X10" s="163"/>
      <c r="Y10" s="163"/>
      <c r="Z10" s="164"/>
      <c r="AA10" s="163"/>
      <c r="AB10" s="163"/>
      <c r="AC10" s="164"/>
      <c r="AD10" s="163"/>
      <c r="AE10" s="163"/>
      <c r="AF10" s="164"/>
      <c r="AG10" s="163"/>
      <c r="AH10" s="133"/>
      <c r="AI10" s="163"/>
      <c r="AJ10" s="164"/>
      <c r="AK10" s="163"/>
      <c r="AL10" s="163"/>
      <c r="AM10" s="164"/>
      <c r="AN10" s="163"/>
      <c r="AO10" s="163"/>
      <c r="AP10" s="164"/>
      <c r="AQ10" s="163"/>
      <c r="AR10" s="163"/>
      <c r="AS10" s="164"/>
      <c r="AT10" s="163"/>
      <c r="AU10" s="163"/>
      <c r="AV10" s="164"/>
      <c r="AW10" s="163"/>
      <c r="AX10" s="133"/>
      <c r="AY10" s="163"/>
      <c r="AZ10" s="164"/>
      <c r="BA10" s="163"/>
      <c r="BB10" s="163"/>
      <c r="BC10" s="164"/>
      <c r="BD10" s="163"/>
      <c r="BE10" s="163"/>
      <c r="BF10" s="164"/>
      <c r="BG10" s="163"/>
      <c r="BH10" s="163"/>
      <c r="BI10" s="164"/>
      <c r="BJ10" s="163"/>
      <c r="BK10" s="163"/>
      <c r="BL10" s="164"/>
      <c r="BM10" s="163"/>
      <c r="BN10" s="133"/>
      <c r="BO10" s="163"/>
      <c r="BP10" s="164"/>
      <c r="BQ10" s="163"/>
      <c r="BR10" s="163"/>
      <c r="BS10" s="164"/>
      <c r="BT10" s="163"/>
      <c r="BU10" s="163"/>
      <c r="BV10" s="164"/>
      <c r="BW10" s="163"/>
      <c r="BX10" s="163"/>
      <c r="BY10" s="164"/>
      <c r="BZ10" s="163"/>
      <c r="CA10" s="163"/>
      <c r="CB10" s="164"/>
      <c r="CC10" s="163"/>
      <c r="CD10" s="133"/>
    </row>
    <row r="11" spans="1:82" ht="14" thickTop="1" x14ac:dyDescent="0.15">
      <c r="A11" s="87"/>
      <c r="B11" s="9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9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9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9"/>
      <c r="AY11" s="108"/>
      <c r="AZ11" s="108"/>
      <c r="BA11" s="108"/>
      <c r="BB11" s="108"/>
      <c r="BC11" s="108"/>
      <c r="BD11" s="108"/>
      <c r="BE11" s="108"/>
      <c r="BF11" s="108"/>
      <c r="BG11" s="108"/>
      <c r="BH11" s="108"/>
      <c r="BI11" s="108"/>
      <c r="BJ11" s="108"/>
      <c r="BK11" s="108"/>
      <c r="BL11" s="108"/>
      <c r="BM11" s="108"/>
      <c r="BN11" s="70"/>
      <c r="BO11" s="108"/>
      <c r="BP11" s="108"/>
      <c r="BQ11" s="108"/>
      <c r="BR11" s="108"/>
      <c r="BS11" s="108"/>
      <c r="BT11" s="108"/>
      <c r="BU11" s="108"/>
      <c r="BV11" s="108"/>
      <c r="BW11" s="108"/>
      <c r="BX11" s="108"/>
      <c r="BY11" s="108"/>
      <c r="BZ11" s="108"/>
      <c r="CA11" s="108"/>
      <c r="CB11" s="108"/>
      <c r="CC11" s="108"/>
      <c r="CD11" s="70"/>
    </row>
    <row r="12" spans="1:82" ht="16" x14ac:dyDescent="0.2">
      <c r="A12" s="128" t="s">
        <v>54</v>
      </c>
      <c r="B12" s="9"/>
      <c r="C12" s="109"/>
      <c r="D12" s="115">
        <f>SUM(D14:D33)</f>
        <v>449000</v>
      </c>
      <c r="E12" s="111"/>
      <c r="F12" s="109"/>
      <c r="G12" s="115">
        <f>SUM(G14:G33)</f>
        <v>489000</v>
      </c>
      <c r="H12" s="111"/>
      <c r="I12" s="109"/>
      <c r="J12" s="115">
        <f>SUM(J14:J33)</f>
        <v>509000</v>
      </c>
      <c r="K12" s="111"/>
      <c r="L12" s="109"/>
      <c r="M12" s="115">
        <f>SUM(M14:M33)</f>
        <v>539000</v>
      </c>
      <c r="N12" s="111"/>
      <c r="O12" s="119"/>
      <c r="P12" s="121">
        <f>SUM(P14:P33)</f>
        <v>1986000</v>
      </c>
      <c r="Q12" s="120"/>
      <c r="R12" s="9"/>
      <c r="S12" s="109"/>
      <c r="T12" s="115">
        <f>SUM(T14:T33)</f>
        <v>0</v>
      </c>
      <c r="U12" s="111"/>
      <c r="V12" s="109"/>
      <c r="W12" s="115">
        <f>SUM(W14:W33)</f>
        <v>0</v>
      </c>
      <c r="X12" s="111"/>
      <c r="Y12" s="109"/>
      <c r="Z12" s="115">
        <f>SUM(Z14:Z33)</f>
        <v>0</v>
      </c>
      <c r="AA12" s="111"/>
      <c r="AB12" s="109"/>
      <c r="AC12" s="115">
        <f>SUM(AC14:AC33)</f>
        <v>0</v>
      </c>
      <c r="AD12" s="111"/>
      <c r="AE12" s="119"/>
      <c r="AF12" s="121">
        <f>SUM(AF14:AF33)</f>
        <v>0</v>
      </c>
      <c r="AG12" s="120"/>
      <c r="AH12" s="9"/>
      <c r="AI12" s="109"/>
      <c r="AJ12" s="115">
        <f>SUM(AJ14:AJ33)</f>
        <v>0</v>
      </c>
      <c r="AK12" s="111"/>
      <c r="AL12" s="109"/>
      <c r="AM12" s="115">
        <f>SUM(AM14:AM33)</f>
        <v>0</v>
      </c>
      <c r="AN12" s="111"/>
      <c r="AO12" s="109"/>
      <c r="AP12" s="115">
        <f>SUM(AP14:AP33)</f>
        <v>0</v>
      </c>
      <c r="AQ12" s="111"/>
      <c r="AR12" s="109"/>
      <c r="AS12" s="115">
        <f>SUM(AS14:AS33)</f>
        <v>0</v>
      </c>
      <c r="AT12" s="111"/>
      <c r="AU12" s="119"/>
      <c r="AV12" s="121">
        <f>SUM(AV14:AV33)</f>
        <v>0</v>
      </c>
      <c r="AW12" s="120"/>
      <c r="AX12" s="9"/>
      <c r="AY12" s="109"/>
      <c r="AZ12" s="115">
        <f>SUM(AZ14:AZ33)</f>
        <v>0</v>
      </c>
      <c r="BA12" s="111"/>
      <c r="BB12" s="109"/>
      <c r="BC12" s="115">
        <f>SUM(BC14:BC33)</f>
        <v>0</v>
      </c>
      <c r="BD12" s="111"/>
      <c r="BE12" s="109"/>
      <c r="BF12" s="115">
        <f>SUM(BF14:BF33)</f>
        <v>0</v>
      </c>
      <c r="BG12" s="111"/>
      <c r="BH12" s="109"/>
      <c r="BI12" s="115">
        <f>SUM(BI14:BI33)</f>
        <v>0</v>
      </c>
      <c r="BJ12" s="111"/>
      <c r="BK12" s="119"/>
      <c r="BL12" s="121">
        <f>SUM(BL14:BL33)</f>
        <v>0</v>
      </c>
      <c r="BM12" s="120"/>
      <c r="BN12" s="70"/>
      <c r="BO12" s="109"/>
      <c r="BP12" s="115">
        <f>SUM(BP14:BP33)</f>
        <v>449000</v>
      </c>
      <c r="BQ12" s="111"/>
      <c r="BR12" s="109"/>
      <c r="BS12" s="115">
        <f>SUM(BS14:BS33)</f>
        <v>489000</v>
      </c>
      <c r="BT12" s="111"/>
      <c r="BU12" s="109"/>
      <c r="BV12" s="115">
        <f>SUM(BV14:BV33)</f>
        <v>509000</v>
      </c>
      <c r="BW12" s="111"/>
      <c r="BX12" s="109"/>
      <c r="BY12" s="115">
        <f>SUM(BY14:BY33)</f>
        <v>539000</v>
      </c>
      <c r="BZ12" s="111"/>
      <c r="CA12" s="119"/>
      <c r="CB12" s="121">
        <f>SUM(CB14:CB33)</f>
        <v>1986000</v>
      </c>
      <c r="CC12" s="120"/>
      <c r="CD12" s="70"/>
    </row>
    <row r="13" spans="1:82" x14ac:dyDescent="0.15">
      <c r="A13" s="105"/>
      <c r="B13" s="9"/>
      <c r="C13" s="108"/>
      <c r="D13" s="112"/>
      <c r="E13" s="108"/>
      <c r="F13" s="108"/>
      <c r="G13" s="112"/>
      <c r="H13" s="108"/>
      <c r="I13" s="108"/>
      <c r="J13" s="112"/>
      <c r="K13" s="108"/>
      <c r="L13" s="108"/>
      <c r="M13" s="112"/>
      <c r="N13" s="108"/>
      <c r="O13" s="108"/>
      <c r="P13" s="112"/>
      <c r="Q13" s="108"/>
      <c r="R13" s="9"/>
      <c r="S13" s="108"/>
      <c r="T13" s="112"/>
      <c r="U13" s="108"/>
      <c r="V13" s="108"/>
      <c r="W13" s="112"/>
      <c r="X13" s="108"/>
      <c r="Y13" s="108"/>
      <c r="Z13" s="112"/>
      <c r="AA13" s="108"/>
      <c r="AB13" s="108"/>
      <c r="AC13" s="112"/>
      <c r="AD13" s="108"/>
      <c r="AE13" s="108"/>
      <c r="AF13" s="112"/>
      <c r="AG13" s="108"/>
      <c r="AH13" s="9"/>
      <c r="AI13" s="108"/>
      <c r="AJ13" s="112"/>
      <c r="AK13" s="108"/>
      <c r="AL13" s="108"/>
      <c r="AM13" s="112"/>
      <c r="AN13" s="108"/>
      <c r="AO13" s="108"/>
      <c r="AP13" s="112"/>
      <c r="AQ13" s="108"/>
      <c r="AR13" s="108"/>
      <c r="AS13" s="112"/>
      <c r="AT13" s="108"/>
      <c r="AU13" s="108"/>
      <c r="AV13" s="112"/>
      <c r="AW13" s="108"/>
      <c r="AX13" s="9"/>
      <c r="AY13" s="108"/>
      <c r="AZ13" s="112"/>
      <c r="BA13" s="108"/>
      <c r="BB13" s="108"/>
      <c r="BC13" s="112"/>
      <c r="BD13" s="108"/>
      <c r="BE13" s="108"/>
      <c r="BF13" s="112"/>
      <c r="BG13" s="108"/>
      <c r="BH13" s="108"/>
      <c r="BI13" s="112"/>
      <c r="BJ13" s="108"/>
      <c r="BK13" s="108"/>
      <c r="BL13" s="112"/>
      <c r="BM13" s="108"/>
      <c r="BN13" s="70"/>
      <c r="BO13" s="108"/>
      <c r="BP13" s="112"/>
      <c r="BQ13" s="108"/>
      <c r="BR13" s="108"/>
      <c r="BS13" s="112"/>
      <c r="BT13" s="108"/>
      <c r="BU13" s="108"/>
      <c r="BV13" s="112"/>
      <c r="BW13" s="108"/>
      <c r="BX13" s="108"/>
      <c r="BY13" s="112"/>
      <c r="BZ13" s="108"/>
      <c r="CA13" s="108"/>
      <c r="CB13" s="112"/>
      <c r="CC13" s="108"/>
      <c r="CD13" s="70"/>
    </row>
    <row r="14" spans="1:82" x14ac:dyDescent="0.15">
      <c r="A14" s="68" t="s">
        <v>87</v>
      </c>
      <c r="B14" s="9"/>
      <c r="C14" s="110"/>
      <c r="D14" s="62">
        <v>350000</v>
      </c>
      <c r="E14" s="87"/>
      <c r="F14" s="110"/>
      <c r="G14" s="62">
        <v>350000</v>
      </c>
      <c r="H14" s="87"/>
      <c r="I14" s="110"/>
      <c r="J14" s="62">
        <v>350000</v>
      </c>
      <c r="K14" s="87"/>
      <c r="L14" s="110"/>
      <c r="M14" s="62">
        <v>350000</v>
      </c>
      <c r="N14" s="87"/>
      <c r="O14" s="110"/>
      <c r="P14" s="116">
        <f>SUM(D14:M14)</f>
        <v>1400000</v>
      </c>
      <c r="Q14" s="108"/>
      <c r="R14" s="9"/>
      <c r="S14" s="110"/>
      <c r="T14" s="62">
        <v>0</v>
      </c>
      <c r="U14" s="87"/>
      <c r="V14" s="110"/>
      <c r="W14" s="62">
        <v>0</v>
      </c>
      <c r="X14" s="87"/>
      <c r="Y14" s="110"/>
      <c r="Z14" s="62">
        <v>0</v>
      </c>
      <c r="AA14" s="87"/>
      <c r="AB14" s="110"/>
      <c r="AC14" s="62">
        <v>0</v>
      </c>
      <c r="AD14" s="87"/>
      <c r="AE14" s="110"/>
      <c r="AF14" s="116">
        <f>SUM(T14:AC14)</f>
        <v>0</v>
      </c>
      <c r="AG14" s="108"/>
      <c r="AH14" s="9"/>
      <c r="AI14" s="110"/>
      <c r="AJ14" s="62">
        <v>0</v>
      </c>
      <c r="AK14" s="87"/>
      <c r="AL14" s="110"/>
      <c r="AM14" s="62">
        <v>0</v>
      </c>
      <c r="AN14" s="87"/>
      <c r="AO14" s="110"/>
      <c r="AP14" s="62">
        <v>0</v>
      </c>
      <c r="AQ14" s="87"/>
      <c r="AR14" s="110"/>
      <c r="AS14" s="62">
        <v>0</v>
      </c>
      <c r="AT14" s="87"/>
      <c r="AU14" s="110"/>
      <c r="AV14" s="116">
        <f>SUM(AJ14:AS14)</f>
        <v>0</v>
      </c>
      <c r="AW14" s="108"/>
      <c r="AX14" s="9"/>
      <c r="AY14" s="110"/>
      <c r="AZ14" s="62">
        <v>0</v>
      </c>
      <c r="BA14" s="87"/>
      <c r="BB14" s="110"/>
      <c r="BC14" s="62">
        <v>0</v>
      </c>
      <c r="BD14" s="87"/>
      <c r="BE14" s="110"/>
      <c r="BF14" s="62">
        <v>0</v>
      </c>
      <c r="BG14" s="87"/>
      <c r="BH14" s="110"/>
      <c r="BI14" s="62">
        <v>0</v>
      </c>
      <c r="BJ14" s="87"/>
      <c r="BK14" s="110"/>
      <c r="BL14" s="116">
        <f>SUM(AZ14:BI14)</f>
        <v>0</v>
      </c>
      <c r="BM14" s="108"/>
      <c r="BN14" s="70"/>
      <c r="BO14" s="110"/>
      <c r="BP14" s="62">
        <f>+D14+T14+AJ14+AZ14</f>
        <v>350000</v>
      </c>
      <c r="BQ14" s="87"/>
      <c r="BR14" s="110"/>
      <c r="BS14" s="62">
        <f>+G14+W14+AM14+BC14</f>
        <v>350000</v>
      </c>
      <c r="BT14" s="87"/>
      <c r="BU14" s="110"/>
      <c r="BV14" s="62">
        <f>+J14+Z14+AP14+BF14</f>
        <v>350000</v>
      </c>
      <c r="BW14" s="87"/>
      <c r="BX14" s="110"/>
      <c r="BY14" s="62">
        <f>+M14+AC14+AS14+BI14</f>
        <v>350000</v>
      </c>
      <c r="BZ14" s="87"/>
      <c r="CA14" s="110"/>
      <c r="CB14" s="116">
        <f>SUM(BP14:BY14)</f>
        <v>1400000</v>
      </c>
      <c r="CC14" s="108"/>
      <c r="CD14" s="70"/>
    </row>
    <row r="15" spans="1:82" x14ac:dyDescent="0.15">
      <c r="A15" s="106"/>
      <c r="B15" s="9"/>
      <c r="C15" s="108"/>
      <c r="D15" s="113"/>
      <c r="E15" s="87"/>
      <c r="F15" s="108"/>
      <c r="G15" s="113"/>
      <c r="H15" s="87"/>
      <c r="I15" s="108"/>
      <c r="J15" s="113"/>
      <c r="K15" s="87"/>
      <c r="L15" s="108"/>
      <c r="M15" s="113"/>
      <c r="N15" s="87"/>
      <c r="O15" s="108"/>
      <c r="P15" s="117"/>
      <c r="Q15" s="108"/>
      <c r="R15" s="9"/>
      <c r="S15" s="108"/>
      <c r="T15" s="113"/>
      <c r="U15" s="87"/>
      <c r="V15" s="108"/>
      <c r="W15" s="113"/>
      <c r="X15" s="87"/>
      <c r="Y15" s="108"/>
      <c r="Z15" s="113"/>
      <c r="AA15" s="87"/>
      <c r="AB15" s="108"/>
      <c r="AC15" s="113"/>
      <c r="AD15" s="87"/>
      <c r="AE15" s="108"/>
      <c r="AF15" s="117"/>
      <c r="AG15" s="108"/>
      <c r="AH15" s="9"/>
      <c r="AI15" s="108"/>
      <c r="AJ15" s="113"/>
      <c r="AK15" s="87"/>
      <c r="AL15" s="108"/>
      <c r="AM15" s="113"/>
      <c r="AN15" s="87"/>
      <c r="AO15" s="108"/>
      <c r="AP15" s="113"/>
      <c r="AQ15" s="87"/>
      <c r="AR15" s="108"/>
      <c r="AS15" s="113"/>
      <c r="AT15" s="87"/>
      <c r="AU15" s="108"/>
      <c r="AV15" s="117"/>
      <c r="AW15" s="108"/>
      <c r="AX15" s="9"/>
      <c r="AY15" s="108"/>
      <c r="AZ15" s="113"/>
      <c r="BA15" s="87"/>
      <c r="BB15" s="108"/>
      <c r="BC15" s="113"/>
      <c r="BD15" s="87"/>
      <c r="BE15" s="108"/>
      <c r="BF15" s="113"/>
      <c r="BG15" s="87"/>
      <c r="BH15" s="108"/>
      <c r="BI15" s="113"/>
      <c r="BJ15" s="87"/>
      <c r="BK15" s="108"/>
      <c r="BL15" s="117"/>
      <c r="BM15" s="108"/>
      <c r="BN15" s="70"/>
      <c r="BO15" s="108"/>
      <c r="BP15" s="113"/>
      <c r="BQ15" s="87"/>
      <c r="BR15" s="108"/>
      <c r="BS15" s="113"/>
      <c r="BT15" s="87"/>
      <c r="BU15" s="108"/>
      <c r="BV15" s="113"/>
      <c r="BW15" s="87"/>
      <c r="BX15" s="108"/>
      <c r="BY15" s="113"/>
      <c r="BZ15" s="87"/>
      <c r="CA15" s="108"/>
      <c r="CB15" s="117"/>
      <c r="CC15" s="108"/>
      <c r="CD15" s="70"/>
    </row>
    <row r="16" spans="1:82" x14ac:dyDescent="0.15">
      <c r="A16" s="68" t="s">
        <v>88</v>
      </c>
      <c r="B16" s="9"/>
      <c r="C16" s="110"/>
      <c r="D16" s="62">
        <v>60000</v>
      </c>
      <c r="E16" s="87"/>
      <c r="F16" s="110"/>
      <c r="G16" s="62">
        <v>100000</v>
      </c>
      <c r="H16" s="87"/>
      <c r="I16" s="110"/>
      <c r="J16" s="62">
        <v>120000</v>
      </c>
      <c r="K16" s="87"/>
      <c r="L16" s="110"/>
      <c r="M16" s="62">
        <v>150000</v>
      </c>
      <c r="N16" s="87"/>
      <c r="O16" s="110"/>
      <c r="P16" s="116">
        <f>SUM(D16:M16)</f>
        <v>430000</v>
      </c>
      <c r="Q16" s="108"/>
      <c r="R16" s="9"/>
      <c r="S16" s="110"/>
      <c r="T16" s="62">
        <v>0</v>
      </c>
      <c r="U16" s="87"/>
      <c r="V16" s="110"/>
      <c r="W16" s="62">
        <v>0</v>
      </c>
      <c r="X16" s="87"/>
      <c r="Y16" s="110"/>
      <c r="Z16" s="62">
        <v>0</v>
      </c>
      <c r="AA16" s="87"/>
      <c r="AB16" s="110"/>
      <c r="AC16" s="62">
        <v>0</v>
      </c>
      <c r="AD16" s="87"/>
      <c r="AE16" s="110"/>
      <c r="AF16" s="116">
        <f>SUM(T16:AC16)</f>
        <v>0</v>
      </c>
      <c r="AG16" s="108"/>
      <c r="AH16" s="9"/>
      <c r="AI16" s="110"/>
      <c r="AJ16" s="62">
        <v>0</v>
      </c>
      <c r="AK16" s="87"/>
      <c r="AL16" s="110"/>
      <c r="AM16" s="62">
        <v>0</v>
      </c>
      <c r="AN16" s="87"/>
      <c r="AO16" s="110"/>
      <c r="AP16" s="62">
        <v>0</v>
      </c>
      <c r="AQ16" s="87"/>
      <c r="AR16" s="110"/>
      <c r="AS16" s="62">
        <v>0</v>
      </c>
      <c r="AT16" s="87"/>
      <c r="AU16" s="110"/>
      <c r="AV16" s="116">
        <f>SUM(AJ16:AS16)</f>
        <v>0</v>
      </c>
      <c r="AW16" s="108"/>
      <c r="AX16" s="9"/>
      <c r="AY16" s="110"/>
      <c r="AZ16" s="62">
        <v>0</v>
      </c>
      <c r="BA16" s="87"/>
      <c r="BB16" s="110"/>
      <c r="BC16" s="62">
        <v>0</v>
      </c>
      <c r="BD16" s="87"/>
      <c r="BE16" s="110"/>
      <c r="BF16" s="62">
        <v>0</v>
      </c>
      <c r="BG16" s="87"/>
      <c r="BH16" s="110"/>
      <c r="BI16" s="62">
        <v>0</v>
      </c>
      <c r="BJ16" s="87"/>
      <c r="BK16" s="110"/>
      <c r="BL16" s="116">
        <f>SUM(AZ16:BI16)</f>
        <v>0</v>
      </c>
      <c r="BM16" s="108"/>
      <c r="BN16" s="70"/>
      <c r="BO16" s="110"/>
      <c r="BP16" s="62">
        <f>+D16+T16+AJ16+AZ16</f>
        <v>60000</v>
      </c>
      <c r="BQ16" s="87"/>
      <c r="BR16" s="110"/>
      <c r="BS16" s="62">
        <f>+G16+W16+AM16+BC16</f>
        <v>100000</v>
      </c>
      <c r="BT16" s="87"/>
      <c r="BU16" s="110"/>
      <c r="BV16" s="62">
        <f>+J16+Z16+AP16+BF16</f>
        <v>120000</v>
      </c>
      <c r="BW16" s="87"/>
      <c r="BX16" s="110"/>
      <c r="BY16" s="62">
        <f>+M16+AC16+AS16+BI16</f>
        <v>150000</v>
      </c>
      <c r="BZ16" s="87"/>
      <c r="CA16" s="110"/>
      <c r="CB16" s="116">
        <f>SUM(BP16:BY16)</f>
        <v>430000</v>
      </c>
      <c r="CC16" s="108"/>
      <c r="CD16" s="70"/>
    </row>
    <row r="17" spans="1:82" x14ac:dyDescent="0.15">
      <c r="A17" s="107"/>
      <c r="B17" s="9"/>
      <c r="C17" s="108"/>
      <c r="D17" s="114"/>
      <c r="E17" s="87"/>
      <c r="F17" s="108"/>
      <c r="G17" s="114"/>
      <c r="H17" s="87"/>
      <c r="I17" s="108"/>
      <c r="J17" s="114"/>
      <c r="K17" s="87"/>
      <c r="L17" s="108"/>
      <c r="M17" s="114"/>
      <c r="N17" s="87"/>
      <c r="O17" s="108"/>
      <c r="P17" s="112"/>
      <c r="Q17" s="108"/>
      <c r="R17" s="9"/>
      <c r="S17" s="108"/>
      <c r="T17" s="114"/>
      <c r="U17" s="87"/>
      <c r="V17" s="108"/>
      <c r="W17" s="114"/>
      <c r="X17" s="87"/>
      <c r="Y17" s="108"/>
      <c r="Z17" s="114"/>
      <c r="AA17" s="87"/>
      <c r="AB17" s="108"/>
      <c r="AC17" s="114"/>
      <c r="AD17" s="87"/>
      <c r="AE17" s="108"/>
      <c r="AF17" s="112"/>
      <c r="AG17" s="108"/>
      <c r="AH17" s="9"/>
      <c r="AI17" s="108"/>
      <c r="AJ17" s="114"/>
      <c r="AK17" s="87"/>
      <c r="AL17" s="108"/>
      <c r="AM17" s="114"/>
      <c r="AN17" s="87"/>
      <c r="AO17" s="108"/>
      <c r="AP17" s="114"/>
      <c r="AQ17" s="87"/>
      <c r="AR17" s="108"/>
      <c r="AS17" s="114"/>
      <c r="AT17" s="87"/>
      <c r="AU17" s="108"/>
      <c r="AV17" s="112"/>
      <c r="AW17" s="108"/>
      <c r="AX17" s="9"/>
      <c r="AY17" s="108"/>
      <c r="AZ17" s="114"/>
      <c r="BA17" s="87"/>
      <c r="BB17" s="108"/>
      <c r="BC17" s="114"/>
      <c r="BD17" s="87"/>
      <c r="BE17" s="108"/>
      <c r="BF17" s="114"/>
      <c r="BG17" s="87"/>
      <c r="BH17" s="108"/>
      <c r="BI17" s="114"/>
      <c r="BJ17" s="87"/>
      <c r="BK17" s="108"/>
      <c r="BL17" s="112"/>
      <c r="BM17" s="108"/>
      <c r="BN17" s="70"/>
      <c r="BO17" s="108"/>
      <c r="BP17" s="114"/>
      <c r="BQ17" s="87"/>
      <c r="BR17" s="108"/>
      <c r="BS17" s="114"/>
      <c r="BT17" s="87"/>
      <c r="BU17" s="108"/>
      <c r="BV17" s="114"/>
      <c r="BW17" s="87"/>
      <c r="BX17" s="108"/>
      <c r="BY17" s="114"/>
      <c r="BZ17" s="87"/>
      <c r="CA17" s="108"/>
      <c r="CB17" s="112"/>
      <c r="CC17" s="108"/>
      <c r="CD17" s="70"/>
    </row>
    <row r="18" spans="1:82" x14ac:dyDescent="0.15">
      <c r="A18" s="68" t="s">
        <v>89</v>
      </c>
      <c r="B18" s="9"/>
      <c r="C18" s="110"/>
      <c r="D18" s="62">
        <v>24000</v>
      </c>
      <c r="E18" s="87"/>
      <c r="F18" s="110"/>
      <c r="G18" s="62">
        <v>24000</v>
      </c>
      <c r="H18" s="87"/>
      <c r="I18" s="110"/>
      <c r="J18" s="62">
        <v>24000</v>
      </c>
      <c r="K18" s="87"/>
      <c r="L18" s="110"/>
      <c r="M18" s="62">
        <v>24000</v>
      </c>
      <c r="N18" s="87"/>
      <c r="O18" s="110"/>
      <c r="P18" s="116">
        <f>SUM(D18:M18)</f>
        <v>96000</v>
      </c>
      <c r="Q18" s="108"/>
      <c r="R18" s="9"/>
      <c r="S18" s="110"/>
      <c r="T18" s="62">
        <v>0</v>
      </c>
      <c r="U18" s="87"/>
      <c r="V18" s="110"/>
      <c r="W18" s="62">
        <v>0</v>
      </c>
      <c r="X18" s="87"/>
      <c r="Y18" s="110"/>
      <c r="Z18" s="62">
        <v>0</v>
      </c>
      <c r="AA18" s="87"/>
      <c r="AB18" s="110"/>
      <c r="AC18" s="62">
        <v>0</v>
      </c>
      <c r="AD18" s="87"/>
      <c r="AE18" s="110"/>
      <c r="AF18" s="116">
        <f>SUM(T18:AC18)</f>
        <v>0</v>
      </c>
      <c r="AG18" s="108"/>
      <c r="AH18" s="9"/>
      <c r="AI18" s="110"/>
      <c r="AJ18" s="62">
        <v>0</v>
      </c>
      <c r="AK18" s="87"/>
      <c r="AL18" s="110"/>
      <c r="AM18" s="62">
        <v>0</v>
      </c>
      <c r="AN18" s="87"/>
      <c r="AO18" s="110"/>
      <c r="AP18" s="62">
        <v>0</v>
      </c>
      <c r="AQ18" s="87"/>
      <c r="AR18" s="110"/>
      <c r="AS18" s="62">
        <v>0</v>
      </c>
      <c r="AT18" s="87"/>
      <c r="AU18" s="110"/>
      <c r="AV18" s="116">
        <f>SUM(AJ18:AS18)</f>
        <v>0</v>
      </c>
      <c r="AW18" s="108"/>
      <c r="AX18" s="9"/>
      <c r="AY18" s="110"/>
      <c r="AZ18" s="62">
        <v>0</v>
      </c>
      <c r="BA18" s="87"/>
      <c r="BB18" s="110"/>
      <c r="BC18" s="62">
        <v>0</v>
      </c>
      <c r="BD18" s="87"/>
      <c r="BE18" s="110"/>
      <c r="BF18" s="62">
        <v>0</v>
      </c>
      <c r="BG18" s="87"/>
      <c r="BH18" s="110"/>
      <c r="BI18" s="62">
        <v>0</v>
      </c>
      <c r="BJ18" s="87"/>
      <c r="BK18" s="110"/>
      <c r="BL18" s="116">
        <f>SUM(AZ18:BI18)</f>
        <v>0</v>
      </c>
      <c r="BM18" s="108"/>
      <c r="BN18" s="70"/>
      <c r="BO18" s="110"/>
      <c r="BP18" s="62">
        <f>+D18+T18+AJ18+AZ18</f>
        <v>24000</v>
      </c>
      <c r="BQ18" s="87"/>
      <c r="BR18" s="110"/>
      <c r="BS18" s="62">
        <f>+G18+W18+AM18+BC18</f>
        <v>24000</v>
      </c>
      <c r="BT18" s="87"/>
      <c r="BU18" s="110"/>
      <c r="BV18" s="62">
        <f>+J18+Z18+AP18+BF18</f>
        <v>24000</v>
      </c>
      <c r="BW18" s="87"/>
      <c r="BX18" s="110"/>
      <c r="BY18" s="62">
        <f>+M18+AC18+AS18+BI18</f>
        <v>24000</v>
      </c>
      <c r="BZ18" s="87"/>
      <c r="CA18" s="110"/>
      <c r="CB18" s="116">
        <f>SUM(BP18:BY18)</f>
        <v>96000</v>
      </c>
      <c r="CC18" s="108"/>
      <c r="CD18" s="70"/>
    </row>
    <row r="19" spans="1:82" x14ac:dyDescent="0.15">
      <c r="A19" s="107"/>
      <c r="B19" s="9"/>
      <c r="C19" s="108"/>
      <c r="D19" s="113"/>
      <c r="E19" s="87"/>
      <c r="F19" s="108"/>
      <c r="G19" s="113"/>
      <c r="H19" s="87"/>
      <c r="I19" s="108"/>
      <c r="J19" s="113"/>
      <c r="K19" s="87"/>
      <c r="L19" s="108"/>
      <c r="M19" s="113"/>
      <c r="N19" s="87"/>
      <c r="O19" s="108"/>
      <c r="P19" s="112"/>
      <c r="Q19" s="108"/>
      <c r="R19" s="9"/>
      <c r="S19" s="108"/>
      <c r="T19" s="113"/>
      <c r="U19" s="87"/>
      <c r="V19" s="108"/>
      <c r="W19" s="113"/>
      <c r="X19" s="87"/>
      <c r="Y19" s="108"/>
      <c r="Z19" s="113"/>
      <c r="AA19" s="87"/>
      <c r="AB19" s="108"/>
      <c r="AC19" s="113"/>
      <c r="AD19" s="87"/>
      <c r="AE19" s="108"/>
      <c r="AF19" s="112"/>
      <c r="AG19" s="108"/>
      <c r="AH19" s="9"/>
      <c r="AI19" s="108"/>
      <c r="AJ19" s="113"/>
      <c r="AK19" s="87"/>
      <c r="AL19" s="108"/>
      <c r="AM19" s="113"/>
      <c r="AN19" s="87"/>
      <c r="AO19" s="108"/>
      <c r="AP19" s="113"/>
      <c r="AQ19" s="87"/>
      <c r="AR19" s="108"/>
      <c r="AS19" s="113"/>
      <c r="AT19" s="87"/>
      <c r="AU19" s="108"/>
      <c r="AV19" s="112"/>
      <c r="AW19" s="108"/>
      <c r="AX19" s="9"/>
      <c r="AY19" s="108"/>
      <c r="AZ19" s="113"/>
      <c r="BA19" s="87"/>
      <c r="BB19" s="108"/>
      <c r="BC19" s="113"/>
      <c r="BD19" s="87"/>
      <c r="BE19" s="108"/>
      <c r="BF19" s="113"/>
      <c r="BG19" s="87"/>
      <c r="BH19" s="108"/>
      <c r="BI19" s="113"/>
      <c r="BJ19" s="87"/>
      <c r="BK19" s="108"/>
      <c r="BL19" s="112"/>
      <c r="BM19" s="108"/>
      <c r="BN19" s="70"/>
      <c r="BO19" s="108"/>
      <c r="BP19" s="113"/>
      <c r="BQ19" s="87"/>
      <c r="BR19" s="108"/>
      <c r="BS19" s="113"/>
      <c r="BT19" s="87"/>
      <c r="BU19" s="108"/>
      <c r="BV19" s="113"/>
      <c r="BW19" s="87"/>
      <c r="BX19" s="108"/>
      <c r="BY19" s="113"/>
      <c r="BZ19" s="87"/>
      <c r="CA19" s="108"/>
      <c r="CB19" s="112"/>
      <c r="CC19" s="108"/>
      <c r="CD19" s="70"/>
    </row>
    <row r="20" spans="1:82" x14ac:dyDescent="0.15">
      <c r="A20" s="68" t="s">
        <v>90</v>
      </c>
      <c r="B20" s="9"/>
      <c r="C20" s="110"/>
      <c r="D20" s="62">
        <v>15000</v>
      </c>
      <c r="E20" s="87"/>
      <c r="F20" s="110"/>
      <c r="G20" s="62">
        <v>15000</v>
      </c>
      <c r="H20" s="87"/>
      <c r="I20" s="110"/>
      <c r="J20" s="62">
        <v>15000</v>
      </c>
      <c r="K20" s="87"/>
      <c r="L20" s="110"/>
      <c r="M20" s="62">
        <v>15000</v>
      </c>
      <c r="N20" s="87"/>
      <c r="O20" s="110"/>
      <c r="P20" s="116">
        <f>SUM(D20:M20)</f>
        <v>60000</v>
      </c>
      <c r="Q20" s="108"/>
      <c r="R20" s="9"/>
      <c r="S20" s="110"/>
      <c r="T20" s="62">
        <v>0</v>
      </c>
      <c r="U20" s="87"/>
      <c r="V20" s="110"/>
      <c r="W20" s="62">
        <v>0</v>
      </c>
      <c r="X20" s="87"/>
      <c r="Y20" s="110"/>
      <c r="Z20" s="62">
        <v>0</v>
      </c>
      <c r="AA20" s="87"/>
      <c r="AB20" s="110"/>
      <c r="AC20" s="62">
        <v>0</v>
      </c>
      <c r="AD20" s="87"/>
      <c r="AE20" s="110"/>
      <c r="AF20" s="116">
        <f>SUM(T20:AC20)</f>
        <v>0</v>
      </c>
      <c r="AG20" s="108"/>
      <c r="AH20" s="9"/>
      <c r="AI20" s="110"/>
      <c r="AJ20" s="62">
        <v>0</v>
      </c>
      <c r="AK20" s="87"/>
      <c r="AL20" s="110"/>
      <c r="AM20" s="62">
        <v>0</v>
      </c>
      <c r="AN20" s="87"/>
      <c r="AO20" s="110"/>
      <c r="AP20" s="62">
        <v>0</v>
      </c>
      <c r="AQ20" s="87"/>
      <c r="AR20" s="110"/>
      <c r="AS20" s="62">
        <v>0</v>
      </c>
      <c r="AT20" s="87"/>
      <c r="AU20" s="110"/>
      <c r="AV20" s="116">
        <f>SUM(AJ20:AS20)</f>
        <v>0</v>
      </c>
      <c r="AW20" s="108"/>
      <c r="AX20" s="9"/>
      <c r="AY20" s="110"/>
      <c r="AZ20" s="62">
        <v>0</v>
      </c>
      <c r="BA20" s="87"/>
      <c r="BB20" s="110"/>
      <c r="BC20" s="62">
        <v>0</v>
      </c>
      <c r="BD20" s="87"/>
      <c r="BE20" s="110"/>
      <c r="BF20" s="62">
        <v>0</v>
      </c>
      <c r="BG20" s="87"/>
      <c r="BH20" s="110"/>
      <c r="BI20" s="62">
        <v>0</v>
      </c>
      <c r="BJ20" s="87"/>
      <c r="BK20" s="110"/>
      <c r="BL20" s="116">
        <f>SUM(AZ20:BI20)</f>
        <v>0</v>
      </c>
      <c r="BM20" s="108"/>
      <c r="BN20" s="70"/>
      <c r="BO20" s="110"/>
      <c r="BP20" s="62">
        <f>+D20+T20+AJ20+AZ20</f>
        <v>15000</v>
      </c>
      <c r="BQ20" s="87"/>
      <c r="BR20" s="110"/>
      <c r="BS20" s="62">
        <f>+G20+W20+AM20+BC20</f>
        <v>15000</v>
      </c>
      <c r="BT20" s="87"/>
      <c r="BU20" s="110"/>
      <c r="BV20" s="62">
        <f>+J20+Z20+AP20+BF20</f>
        <v>15000</v>
      </c>
      <c r="BW20" s="87"/>
      <c r="BX20" s="110"/>
      <c r="BY20" s="62">
        <f>+M20+AC20+AS20+BI20</f>
        <v>15000</v>
      </c>
      <c r="BZ20" s="87"/>
      <c r="CA20" s="110"/>
      <c r="CB20" s="116">
        <f>SUM(BP20:BY20)</f>
        <v>60000</v>
      </c>
      <c r="CC20" s="108"/>
      <c r="CD20" s="70"/>
    </row>
    <row r="21" spans="1:82" x14ac:dyDescent="0.15">
      <c r="A21" s="107"/>
      <c r="B21" s="9"/>
      <c r="C21" s="108"/>
      <c r="D21" s="114"/>
      <c r="E21" s="87"/>
      <c r="F21" s="108"/>
      <c r="G21" s="114"/>
      <c r="H21" s="87"/>
      <c r="I21" s="108"/>
      <c r="J21" s="114"/>
      <c r="K21" s="87"/>
      <c r="L21" s="108"/>
      <c r="M21" s="114"/>
      <c r="N21" s="87"/>
      <c r="O21" s="108"/>
      <c r="P21" s="112"/>
      <c r="Q21" s="108"/>
      <c r="R21" s="9"/>
      <c r="S21" s="108"/>
      <c r="T21" s="114"/>
      <c r="U21" s="87"/>
      <c r="V21" s="108"/>
      <c r="W21" s="114"/>
      <c r="X21" s="87"/>
      <c r="Y21" s="108"/>
      <c r="Z21" s="114"/>
      <c r="AA21" s="87"/>
      <c r="AB21" s="108"/>
      <c r="AC21" s="114"/>
      <c r="AD21" s="87"/>
      <c r="AE21" s="108"/>
      <c r="AF21" s="112"/>
      <c r="AG21" s="108"/>
      <c r="AH21" s="9"/>
      <c r="AI21" s="108"/>
      <c r="AJ21" s="114"/>
      <c r="AK21" s="87"/>
      <c r="AL21" s="108"/>
      <c r="AM21" s="114"/>
      <c r="AN21" s="87"/>
      <c r="AO21" s="108"/>
      <c r="AP21" s="114"/>
      <c r="AQ21" s="87"/>
      <c r="AR21" s="108"/>
      <c r="AS21" s="114"/>
      <c r="AT21" s="87"/>
      <c r="AU21" s="108"/>
      <c r="AV21" s="112"/>
      <c r="AW21" s="108"/>
      <c r="AX21" s="9"/>
      <c r="AY21" s="108"/>
      <c r="AZ21" s="114"/>
      <c r="BA21" s="87"/>
      <c r="BB21" s="108"/>
      <c r="BC21" s="114"/>
      <c r="BD21" s="87"/>
      <c r="BE21" s="108"/>
      <c r="BF21" s="114"/>
      <c r="BG21" s="87"/>
      <c r="BH21" s="108"/>
      <c r="BI21" s="114"/>
      <c r="BJ21" s="87"/>
      <c r="BK21" s="108"/>
      <c r="BL21" s="112"/>
      <c r="BM21" s="108"/>
      <c r="BN21" s="70"/>
      <c r="BO21" s="108"/>
      <c r="BP21" s="114"/>
      <c r="BQ21" s="87"/>
      <c r="BR21" s="108"/>
      <c r="BS21" s="114"/>
      <c r="BT21" s="87"/>
      <c r="BU21" s="108"/>
      <c r="BV21" s="114"/>
      <c r="BW21" s="87"/>
      <c r="BX21" s="108"/>
      <c r="BY21" s="114"/>
      <c r="BZ21" s="87"/>
      <c r="CA21" s="108"/>
      <c r="CB21" s="112"/>
      <c r="CC21" s="108"/>
      <c r="CD21" s="70"/>
    </row>
    <row r="22" spans="1:82" x14ac:dyDescent="0.15">
      <c r="A22" s="68"/>
      <c r="B22" s="9"/>
      <c r="C22" s="110"/>
      <c r="D22" s="62">
        <v>0</v>
      </c>
      <c r="E22" s="87"/>
      <c r="F22" s="110"/>
      <c r="G22" s="62">
        <v>0</v>
      </c>
      <c r="H22" s="87"/>
      <c r="I22" s="110"/>
      <c r="J22" s="62">
        <v>0</v>
      </c>
      <c r="K22" s="87"/>
      <c r="L22" s="110"/>
      <c r="M22" s="62">
        <v>0</v>
      </c>
      <c r="N22" s="87"/>
      <c r="O22" s="110"/>
      <c r="P22" s="116">
        <f>SUM(D22:M22)</f>
        <v>0</v>
      </c>
      <c r="Q22" s="108"/>
      <c r="R22" s="9"/>
      <c r="S22" s="110"/>
      <c r="T22" s="62">
        <v>0</v>
      </c>
      <c r="U22" s="87"/>
      <c r="V22" s="110"/>
      <c r="W22" s="62">
        <v>0</v>
      </c>
      <c r="X22" s="87"/>
      <c r="Y22" s="110"/>
      <c r="Z22" s="62">
        <v>0</v>
      </c>
      <c r="AA22" s="87"/>
      <c r="AB22" s="110"/>
      <c r="AC22" s="62">
        <v>0</v>
      </c>
      <c r="AD22" s="87"/>
      <c r="AE22" s="110"/>
      <c r="AF22" s="116">
        <f>SUM(T22:AC22)</f>
        <v>0</v>
      </c>
      <c r="AG22" s="108"/>
      <c r="AH22" s="9"/>
      <c r="AI22" s="110"/>
      <c r="AJ22" s="62">
        <v>0</v>
      </c>
      <c r="AK22" s="87"/>
      <c r="AL22" s="110"/>
      <c r="AM22" s="62">
        <v>0</v>
      </c>
      <c r="AN22" s="87"/>
      <c r="AO22" s="110"/>
      <c r="AP22" s="62">
        <v>0</v>
      </c>
      <c r="AQ22" s="87"/>
      <c r="AR22" s="110"/>
      <c r="AS22" s="62">
        <v>0</v>
      </c>
      <c r="AT22" s="87"/>
      <c r="AU22" s="110"/>
      <c r="AV22" s="116">
        <f>SUM(AJ22:AS22)</f>
        <v>0</v>
      </c>
      <c r="AW22" s="108"/>
      <c r="AX22" s="9"/>
      <c r="AY22" s="110"/>
      <c r="AZ22" s="62">
        <v>0</v>
      </c>
      <c r="BA22" s="87"/>
      <c r="BB22" s="110"/>
      <c r="BC22" s="62">
        <v>0</v>
      </c>
      <c r="BD22" s="87"/>
      <c r="BE22" s="110"/>
      <c r="BF22" s="62">
        <v>0</v>
      </c>
      <c r="BG22" s="87"/>
      <c r="BH22" s="110"/>
      <c r="BI22" s="62">
        <v>0</v>
      </c>
      <c r="BJ22" s="87"/>
      <c r="BK22" s="110"/>
      <c r="BL22" s="116">
        <f>SUM(AZ22:BI22)</f>
        <v>0</v>
      </c>
      <c r="BM22" s="108"/>
      <c r="BN22" s="70"/>
      <c r="BO22" s="110"/>
      <c r="BP22" s="62">
        <f>+D22+T22+AJ22+AZ22</f>
        <v>0</v>
      </c>
      <c r="BQ22" s="87"/>
      <c r="BR22" s="110"/>
      <c r="BS22" s="62">
        <f>+G22+W22+AM22+BC22</f>
        <v>0</v>
      </c>
      <c r="BT22" s="87"/>
      <c r="BU22" s="110"/>
      <c r="BV22" s="62">
        <f>+J22+Z22+AP22+BF22</f>
        <v>0</v>
      </c>
      <c r="BW22" s="87"/>
      <c r="BX22" s="110"/>
      <c r="BY22" s="62">
        <f>+M22+AC22+AS22+BI22</f>
        <v>0</v>
      </c>
      <c r="BZ22" s="87"/>
      <c r="CA22" s="110"/>
      <c r="CB22" s="116">
        <f>SUM(BP22:BY22)</f>
        <v>0</v>
      </c>
      <c r="CC22" s="108"/>
      <c r="CD22" s="70"/>
    </row>
    <row r="23" spans="1:82" x14ac:dyDescent="0.15">
      <c r="A23" s="106"/>
      <c r="B23" s="9"/>
      <c r="C23" s="108"/>
      <c r="D23" s="113"/>
      <c r="E23" s="87"/>
      <c r="F23" s="108"/>
      <c r="G23" s="113"/>
      <c r="H23" s="87"/>
      <c r="I23" s="108"/>
      <c r="J23" s="113"/>
      <c r="K23" s="87"/>
      <c r="L23" s="108"/>
      <c r="M23" s="113"/>
      <c r="N23" s="87"/>
      <c r="O23" s="108"/>
      <c r="P23" s="117"/>
      <c r="Q23" s="108"/>
      <c r="R23" s="9"/>
      <c r="S23" s="108"/>
      <c r="T23" s="113"/>
      <c r="U23" s="87"/>
      <c r="V23" s="108"/>
      <c r="W23" s="113"/>
      <c r="X23" s="87"/>
      <c r="Y23" s="108"/>
      <c r="Z23" s="113"/>
      <c r="AA23" s="87"/>
      <c r="AB23" s="108"/>
      <c r="AC23" s="113"/>
      <c r="AD23" s="87"/>
      <c r="AE23" s="108"/>
      <c r="AF23" s="117"/>
      <c r="AG23" s="108"/>
      <c r="AH23" s="9"/>
      <c r="AI23" s="108"/>
      <c r="AJ23" s="113"/>
      <c r="AK23" s="87"/>
      <c r="AL23" s="108"/>
      <c r="AM23" s="113"/>
      <c r="AN23" s="87"/>
      <c r="AO23" s="108"/>
      <c r="AP23" s="113"/>
      <c r="AQ23" s="87"/>
      <c r="AR23" s="108"/>
      <c r="AS23" s="113"/>
      <c r="AT23" s="87"/>
      <c r="AU23" s="108"/>
      <c r="AV23" s="117"/>
      <c r="AW23" s="108"/>
      <c r="AX23" s="9"/>
      <c r="AY23" s="108"/>
      <c r="AZ23" s="113"/>
      <c r="BA23" s="87"/>
      <c r="BB23" s="108"/>
      <c r="BC23" s="113"/>
      <c r="BD23" s="87"/>
      <c r="BE23" s="108"/>
      <c r="BF23" s="113"/>
      <c r="BG23" s="87"/>
      <c r="BH23" s="108"/>
      <c r="BI23" s="113"/>
      <c r="BJ23" s="87"/>
      <c r="BK23" s="108"/>
      <c r="BL23" s="117"/>
      <c r="BM23" s="108"/>
      <c r="BN23" s="70"/>
      <c r="BO23" s="108"/>
      <c r="BP23" s="113"/>
      <c r="BQ23" s="87"/>
      <c r="BR23" s="108"/>
      <c r="BS23" s="113"/>
      <c r="BT23" s="87"/>
      <c r="BU23" s="108"/>
      <c r="BV23" s="113"/>
      <c r="BW23" s="87"/>
      <c r="BX23" s="108"/>
      <c r="BY23" s="113"/>
      <c r="BZ23" s="87"/>
      <c r="CA23" s="108"/>
      <c r="CB23" s="117"/>
      <c r="CC23" s="108"/>
      <c r="CD23" s="70"/>
    </row>
    <row r="24" spans="1:82" x14ac:dyDescent="0.15">
      <c r="A24" s="68"/>
      <c r="B24" s="9"/>
      <c r="C24" s="110"/>
      <c r="D24" s="62">
        <v>0</v>
      </c>
      <c r="E24" s="87"/>
      <c r="F24" s="110"/>
      <c r="G24" s="62">
        <v>0</v>
      </c>
      <c r="H24" s="87"/>
      <c r="I24" s="110"/>
      <c r="J24" s="62">
        <v>0</v>
      </c>
      <c r="K24" s="87"/>
      <c r="L24" s="110"/>
      <c r="M24" s="62">
        <v>0</v>
      </c>
      <c r="N24" s="87"/>
      <c r="O24" s="110"/>
      <c r="P24" s="116">
        <f>SUM(D24:M24)</f>
        <v>0</v>
      </c>
      <c r="Q24" s="108"/>
      <c r="R24" s="9"/>
      <c r="S24" s="110"/>
      <c r="T24" s="62">
        <v>0</v>
      </c>
      <c r="U24" s="87"/>
      <c r="V24" s="110"/>
      <c r="W24" s="62">
        <v>0</v>
      </c>
      <c r="X24" s="87"/>
      <c r="Y24" s="110"/>
      <c r="Z24" s="62">
        <v>0</v>
      </c>
      <c r="AA24" s="87"/>
      <c r="AB24" s="110"/>
      <c r="AC24" s="62">
        <v>0</v>
      </c>
      <c r="AD24" s="87"/>
      <c r="AE24" s="110"/>
      <c r="AF24" s="116">
        <f>SUM(T24:AC24)</f>
        <v>0</v>
      </c>
      <c r="AG24" s="108"/>
      <c r="AH24" s="9"/>
      <c r="AI24" s="110"/>
      <c r="AJ24" s="62">
        <v>0</v>
      </c>
      <c r="AK24" s="87"/>
      <c r="AL24" s="110"/>
      <c r="AM24" s="62">
        <v>0</v>
      </c>
      <c r="AN24" s="87"/>
      <c r="AO24" s="110"/>
      <c r="AP24" s="62">
        <v>0</v>
      </c>
      <c r="AQ24" s="87"/>
      <c r="AR24" s="110"/>
      <c r="AS24" s="62">
        <v>0</v>
      </c>
      <c r="AT24" s="87"/>
      <c r="AU24" s="110"/>
      <c r="AV24" s="116">
        <f>SUM(AJ24:AS24)</f>
        <v>0</v>
      </c>
      <c r="AW24" s="108"/>
      <c r="AX24" s="9"/>
      <c r="AY24" s="110"/>
      <c r="AZ24" s="62">
        <v>0</v>
      </c>
      <c r="BA24" s="87"/>
      <c r="BB24" s="110"/>
      <c r="BC24" s="62">
        <v>0</v>
      </c>
      <c r="BD24" s="87"/>
      <c r="BE24" s="110"/>
      <c r="BF24" s="62">
        <v>0</v>
      </c>
      <c r="BG24" s="87"/>
      <c r="BH24" s="110"/>
      <c r="BI24" s="62">
        <v>0</v>
      </c>
      <c r="BJ24" s="87"/>
      <c r="BK24" s="110"/>
      <c r="BL24" s="116">
        <f>SUM(AZ24:BI24)</f>
        <v>0</v>
      </c>
      <c r="BM24" s="108"/>
      <c r="BN24" s="70"/>
      <c r="BO24" s="110"/>
      <c r="BP24" s="62">
        <f>+D24+T24+AJ24+AZ24</f>
        <v>0</v>
      </c>
      <c r="BQ24" s="87"/>
      <c r="BR24" s="110"/>
      <c r="BS24" s="62">
        <f>+G24+W24+AM24+BC24</f>
        <v>0</v>
      </c>
      <c r="BT24" s="87"/>
      <c r="BU24" s="110"/>
      <c r="BV24" s="62">
        <f>+J24+Z24+AP24+BF24</f>
        <v>0</v>
      </c>
      <c r="BW24" s="87"/>
      <c r="BX24" s="110"/>
      <c r="BY24" s="62">
        <f>+M24+AC24+AS24+BI24</f>
        <v>0</v>
      </c>
      <c r="BZ24" s="87"/>
      <c r="CA24" s="110"/>
      <c r="CB24" s="116">
        <f>SUM(BP24:BY24)</f>
        <v>0</v>
      </c>
      <c r="CC24" s="108"/>
      <c r="CD24" s="70"/>
    </row>
    <row r="25" spans="1:82" x14ac:dyDescent="0.15">
      <c r="A25" s="107"/>
      <c r="B25" s="9"/>
      <c r="C25" s="108"/>
      <c r="D25" s="114"/>
      <c r="E25" s="87"/>
      <c r="F25" s="108"/>
      <c r="G25" s="114"/>
      <c r="H25" s="87"/>
      <c r="I25" s="108"/>
      <c r="J25" s="114"/>
      <c r="K25" s="87"/>
      <c r="L25" s="108"/>
      <c r="M25" s="114"/>
      <c r="N25" s="87"/>
      <c r="O25" s="108"/>
      <c r="P25" s="112"/>
      <c r="Q25" s="108"/>
      <c r="R25" s="9"/>
      <c r="S25" s="108"/>
      <c r="T25" s="114"/>
      <c r="U25" s="87"/>
      <c r="V25" s="108"/>
      <c r="W25" s="114"/>
      <c r="X25" s="87"/>
      <c r="Y25" s="108"/>
      <c r="Z25" s="114"/>
      <c r="AA25" s="87"/>
      <c r="AB25" s="108"/>
      <c r="AC25" s="114"/>
      <c r="AD25" s="87"/>
      <c r="AE25" s="108"/>
      <c r="AF25" s="112"/>
      <c r="AG25" s="108"/>
      <c r="AH25" s="9"/>
      <c r="AI25" s="108"/>
      <c r="AJ25" s="114"/>
      <c r="AK25" s="87"/>
      <c r="AL25" s="108"/>
      <c r="AM25" s="114"/>
      <c r="AN25" s="87"/>
      <c r="AO25" s="108"/>
      <c r="AP25" s="114"/>
      <c r="AQ25" s="87"/>
      <c r="AR25" s="108"/>
      <c r="AS25" s="114"/>
      <c r="AT25" s="87"/>
      <c r="AU25" s="108"/>
      <c r="AV25" s="112"/>
      <c r="AW25" s="108"/>
      <c r="AX25" s="9"/>
      <c r="AY25" s="108"/>
      <c r="AZ25" s="114"/>
      <c r="BA25" s="87"/>
      <c r="BB25" s="108"/>
      <c r="BC25" s="114"/>
      <c r="BD25" s="87"/>
      <c r="BE25" s="108"/>
      <c r="BF25" s="114"/>
      <c r="BG25" s="87"/>
      <c r="BH25" s="108"/>
      <c r="BI25" s="114"/>
      <c r="BJ25" s="87"/>
      <c r="BK25" s="108"/>
      <c r="BL25" s="112"/>
      <c r="BM25" s="108"/>
      <c r="BN25" s="70"/>
      <c r="BO25" s="108"/>
      <c r="BP25" s="114"/>
      <c r="BQ25" s="87"/>
      <c r="BR25" s="108"/>
      <c r="BS25" s="114"/>
      <c r="BT25" s="87"/>
      <c r="BU25" s="108"/>
      <c r="BV25" s="114"/>
      <c r="BW25" s="87"/>
      <c r="BX25" s="108"/>
      <c r="BY25" s="114"/>
      <c r="BZ25" s="87"/>
      <c r="CA25" s="108"/>
      <c r="CB25" s="112"/>
      <c r="CC25" s="108"/>
      <c r="CD25" s="70"/>
    </row>
    <row r="26" spans="1:82" x14ac:dyDescent="0.15">
      <c r="A26" s="68"/>
      <c r="B26" s="9"/>
      <c r="C26" s="110"/>
      <c r="D26" s="62">
        <v>0</v>
      </c>
      <c r="E26" s="87"/>
      <c r="F26" s="110"/>
      <c r="G26" s="62">
        <v>0</v>
      </c>
      <c r="H26" s="87"/>
      <c r="I26" s="110"/>
      <c r="J26" s="62">
        <v>0</v>
      </c>
      <c r="K26" s="87"/>
      <c r="L26" s="110"/>
      <c r="M26" s="62">
        <v>0</v>
      </c>
      <c r="N26" s="87"/>
      <c r="O26" s="110"/>
      <c r="P26" s="116">
        <f>SUM(D26:M26)</f>
        <v>0</v>
      </c>
      <c r="Q26" s="108"/>
      <c r="R26" s="9"/>
      <c r="S26" s="110"/>
      <c r="T26" s="62">
        <v>0</v>
      </c>
      <c r="U26" s="87"/>
      <c r="V26" s="110"/>
      <c r="W26" s="62">
        <v>0</v>
      </c>
      <c r="X26" s="87"/>
      <c r="Y26" s="110"/>
      <c r="Z26" s="62">
        <v>0</v>
      </c>
      <c r="AA26" s="87"/>
      <c r="AB26" s="110"/>
      <c r="AC26" s="62">
        <v>0</v>
      </c>
      <c r="AD26" s="87"/>
      <c r="AE26" s="110"/>
      <c r="AF26" s="116">
        <f>SUM(T26:AC26)</f>
        <v>0</v>
      </c>
      <c r="AG26" s="108"/>
      <c r="AH26" s="9"/>
      <c r="AI26" s="110"/>
      <c r="AJ26" s="62">
        <v>0</v>
      </c>
      <c r="AK26" s="87"/>
      <c r="AL26" s="110"/>
      <c r="AM26" s="62">
        <v>0</v>
      </c>
      <c r="AN26" s="87"/>
      <c r="AO26" s="110"/>
      <c r="AP26" s="62">
        <v>0</v>
      </c>
      <c r="AQ26" s="87"/>
      <c r="AR26" s="110"/>
      <c r="AS26" s="62">
        <v>0</v>
      </c>
      <c r="AT26" s="87"/>
      <c r="AU26" s="110"/>
      <c r="AV26" s="116">
        <f>SUM(AJ26:AS26)</f>
        <v>0</v>
      </c>
      <c r="AW26" s="108"/>
      <c r="AX26" s="9"/>
      <c r="AY26" s="110"/>
      <c r="AZ26" s="62">
        <v>0</v>
      </c>
      <c r="BA26" s="87"/>
      <c r="BB26" s="110"/>
      <c r="BC26" s="62">
        <v>0</v>
      </c>
      <c r="BD26" s="87"/>
      <c r="BE26" s="110"/>
      <c r="BF26" s="62">
        <v>0</v>
      </c>
      <c r="BG26" s="87"/>
      <c r="BH26" s="110"/>
      <c r="BI26" s="62">
        <v>0</v>
      </c>
      <c r="BJ26" s="87"/>
      <c r="BK26" s="110"/>
      <c r="BL26" s="116">
        <f>SUM(AZ26:BI26)</f>
        <v>0</v>
      </c>
      <c r="BM26" s="108"/>
      <c r="BN26" s="70"/>
      <c r="BO26" s="110"/>
      <c r="BP26" s="62">
        <f>+D26+T26+AJ26+AZ26</f>
        <v>0</v>
      </c>
      <c r="BQ26" s="87"/>
      <c r="BR26" s="110"/>
      <c r="BS26" s="62">
        <f>+G26+W26+AM26+BC26</f>
        <v>0</v>
      </c>
      <c r="BT26" s="87"/>
      <c r="BU26" s="110"/>
      <c r="BV26" s="62">
        <f>+J26+Z26+AP26+BF26</f>
        <v>0</v>
      </c>
      <c r="BW26" s="87"/>
      <c r="BX26" s="110"/>
      <c r="BY26" s="62">
        <f>+M26+AC26+AS26+BI26</f>
        <v>0</v>
      </c>
      <c r="BZ26" s="87"/>
      <c r="CA26" s="110"/>
      <c r="CB26" s="116">
        <f>SUM(BP26:BY26)</f>
        <v>0</v>
      </c>
      <c r="CC26" s="108"/>
      <c r="CD26" s="70"/>
    </row>
    <row r="27" spans="1:82" x14ac:dyDescent="0.15">
      <c r="A27" s="107"/>
      <c r="B27" s="9"/>
      <c r="C27" s="108"/>
      <c r="D27" s="113"/>
      <c r="E27" s="87"/>
      <c r="F27" s="108"/>
      <c r="G27" s="113"/>
      <c r="H27" s="87"/>
      <c r="I27" s="108"/>
      <c r="J27" s="113"/>
      <c r="K27" s="87"/>
      <c r="L27" s="108"/>
      <c r="M27" s="113"/>
      <c r="N27" s="87"/>
      <c r="O27" s="108"/>
      <c r="P27" s="112"/>
      <c r="Q27" s="108"/>
      <c r="R27" s="9"/>
      <c r="S27" s="108"/>
      <c r="T27" s="113"/>
      <c r="U27" s="87"/>
      <c r="V27" s="108"/>
      <c r="W27" s="113"/>
      <c r="X27" s="87"/>
      <c r="Y27" s="108"/>
      <c r="Z27" s="113"/>
      <c r="AA27" s="87"/>
      <c r="AB27" s="108"/>
      <c r="AC27" s="113"/>
      <c r="AD27" s="87"/>
      <c r="AE27" s="108"/>
      <c r="AF27" s="112"/>
      <c r="AG27" s="108"/>
      <c r="AH27" s="9"/>
      <c r="AI27" s="108"/>
      <c r="AJ27" s="113"/>
      <c r="AK27" s="87"/>
      <c r="AL27" s="108"/>
      <c r="AM27" s="113"/>
      <c r="AN27" s="87"/>
      <c r="AO27" s="108"/>
      <c r="AP27" s="113"/>
      <c r="AQ27" s="87"/>
      <c r="AR27" s="108"/>
      <c r="AS27" s="113"/>
      <c r="AT27" s="87"/>
      <c r="AU27" s="108"/>
      <c r="AV27" s="112"/>
      <c r="AW27" s="108"/>
      <c r="AX27" s="9"/>
      <c r="AY27" s="108"/>
      <c r="AZ27" s="113"/>
      <c r="BA27" s="87"/>
      <c r="BB27" s="108"/>
      <c r="BC27" s="113"/>
      <c r="BD27" s="87"/>
      <c r="BE27" s="108"/>
      <c r="BF27" s="113"/>
      <c r="BG27" s="87"/>
      <c r="BH27" s="108"/>
      <c r="BI27" s="113"/>
      <c r="BJ27" s="87"/>
      <c r="BK27" s="108"/>
      <c r="BL27" s="112"/>
      <c r="BM27" s="108"/>
      <c r="BN27" s="70"/>
      <c r="BO27" s="108"/>
      <c r="BP27" s="113"/>
      <c r="BQ27" s="87"/>
      <c r="BR27" s="108"/>
      <c r="BS27" s="113"/>
      <c r="BT27" s="87"/>
      <c r="BU27" s="108"/>
      <c r="BV27" s="113"/>
      <c r="BW27" s="87"/>
      <c r="BX27" s="108"/>
      <c r="BY27" s="113"/>
      <c r="BZ27" s="87"/>
      <c r="CA27" s="108"/>
      <c r="CB27" s="112"/>
      <c r="CC27" s="108"/>
      <c r="CD27" s="70"/>
    </row>
    <row r="28" spans="1:82" x14ac:dyDescent="0.15">
      <c r="A28" s="68"/>
      <c r="B28" s="9"/>
      <c r="C28" s="110"/>
      <c r="D28" s="62">
        <v>0</v>
      </c>
      <c r="E28" s="87"/>
      <c r="F28" s="110"/>
      <c r="G28" s="62">
        <v>0</v>
      </c>
      <c r="H28" s="87"/>
      <c r="I28" s="110"/>
      <c r="J28" s="62">
        <v>0</v>
      </c>
      <c r="K28" s="87"/>
      <c r="L28" s="110"/>
      <c r="M28" s="62">
        <v>0</v>
      </c>
      <c r="N28" s="87"/>
      <c r="O28" s="110"/>
      <c r="P28" s="116">
        <f>SUM(D28:M28)</f>
        <v>0</v>
      </c>
      <c r="Q28" s="108"/>
      <c r="R28" s="9"/>
      <c r="S28" s="110"/>
      <c r="T28" s="62">
        <v>0</v>
      </c>
      <c r="U28" s="87"/>
      <c r="V28" s="110"/>
      <c r="W28" s="62">
        <v>0</v>
      </c>
      <c r="X28" s="87"/>
      <c r="Y28" s="110"/>
      <c r="Z28" s="62">
        <v>0</v>
      </c>
      <c r="AA28" s="87"/>
      <c r="AB28" s="110"/>
      <c r="AC28" s="62">
        <v>0</v>
      </c>
      <c r="AD28" s="87"/>
      <c r="AE28" s="110"/>
      <c r="AF28" s="116">
        <f>SUM(T28:AC28)</f>
        <v>0</v>
      </c>
      <c r="AG28" s="108"/>
      <c r="AH28" s="9"/>
      <c r="AI28" s="110"/>
      <c r="AJ28" s="62">
        <v>0</v>
      </c>
      <c r="AK28" s="87"/>
      <c r="AL28" s="110"/>
      <c r="AM28" s="62">
        <v>0</v>
      </c>
      <c r="AN28" s="87"/>
      <c r="AO28" s="110"/>
      <c r="AP28" s="62">
        <v>0</v>
      </c>
      <c r="AQ28" s="87"/>
      <c r="AR28" s="110"/>
      <c r="AS28" s="62">
        <v>0</v>
      </c>
      <c r="AT28" s="87"/>
      <c r="AU28" s="110"/>
      <c r="AV28" s="116">
        <f>SUM(AJ28:AS28)</f>
        <v>0</v>
      </c>
      <c r="AW28" s="108"/>
      <c r="AX28" s="9"/>
      <c r="AY28" s="110"/>
      <c r="AZ28" s="62">
        <v>0</v>
      </c>
      <c r="BA28" s="87"/>
      <c r="BB28" s="110"/>
      <c r="BC28" s="62">
        <v>0</v>
      </c>
      <c r="BD28" s="87"/>
      <c r="BE28" s="110"/>
      <c r="BF28" s="62">
        <v>0</v>
      </c>
      <c r="BG28" s="87"/>
      <c r="BH28" s="110"/>
      <c r="BI28" s="62">
        <v>0</v>
      </c>
      <c r="BJ28" s="87"/>
      <c r="BK28" s="110"/>
      <c r="BL28" s="116">
        <f>SUM(AZ28:BI28)</f>
        <v>0</v>
      </c>
      <c r="BM28" s="108"/>
      <c r="BN28" s="70"/>
      <c r="BO28" s="110"/>
      <c r="BP28" s="62">
        <f>+D28+T28+AJ28+AZ28</f>
        <v>0</v>
      </c>
      <c r="BQ28" s="87"/>
      <c r="BR28" s="110"/>
      <c r="BS28" s="62">
        <f>+G28+W28+AM28+BC28</f>
        <v>0</v>
      </c>
      <c r="BT28" s="87"/>
      <c r="BU28" s="110"/>
      <c r="BV28" s="62">
        <f>+J28+Z28+AP28+BF28</f>
        <v>0</v>
      </c>
      <c r="BW28" s="87"/>
      <c r="BX28" s="110"/>
      <c r="BY28" s="62">
        <f>+M28+AC28+AS28+BI28</f>
        <v>0</v>
      </c>
      <c r="BZ28" s="87"/>
      <c r="CA28" s="110"/>
      <c r="CB28" s="116">
        <f>SUM(BP28:BY28)</f>
        <v>0</v>
      </c>
      <c r="CC28" s="108"/>
      <c r="CD28" s="70"/>
    </row>
    <row r="29" spans="1:82" x14ac:dyDescent="0.15">
      <c r="A29" s="106"/>
      <c r="B29" s="9"/>
      <c r="C29" s="108"/>
      <c r="D29" s="113"/>
      <c r="E29" s="87"/>
      <c r="F29" s="108"/>
      <c r="G29" s="113"/>
      <c r="H29" s="87"/>
      <c r="I29" s="108"/>
      <c r="J29" s="113"/>
      <c r="K29" s="87"/>
      <c r="L29" s="108"/>
      <c r="M29" s="113"/>
      <c r="N29" s="87"/>
      <c r="O29" s="108"/>
      <c r="P29" s="117"/>
      <c r="Q29" s="108"/>
      <c r="R29" s="9"/>
      <c r="S29" s="108"/>
      <c r="T29" s="113"/>
      <c r="U29" s="87"/>
      <c r="V29" s="108"/>
      <c r="W29" s="113"/>
      <c r="X29" s="87"/>
      <c r="Y29" s="108"/>
      <c r="Z29" s="113"/>
      <c r="AA29" s="87"/>
      <c r="AB29" s="108"/>
      <c r="AC29" s="113"/>
      <c r="AD29" s="87"/>
      <c r="AE29" s="108"/>
      <c r="AF29" s="117"/>
      <c r="AG29" s="108"/>
      <c r="AH29" s="9"/>
      <c r="AI29" s="108"/>
      <c r="AJ29" s="113"/>
      <c r="AK29" s="87"/>
      <c r="AL29" s="108"/>
      <c r="AM29" s="113"/>
      <c r="AN29" s="87"/>
      <c r="AO29" s="108"/>
      <c r="AP29" s="113"/>
      <c r="AQ29" s="87"/>
      <c r="AR29" s="108"/>
      <c r="AS29" s="113"/>
      <c r="AT29" s="87"/>
      <c r="AU29" s="108"/>
      <c r="AV29" s="117"/>
      <c r="AW29" s="108"/>
      <c r="AX29" s="9"/>
      <c r="AY29" s="108"/>
      <c r="AZ29" s="113"/>
      <c r="BA29" s="87"/>
      <c r="BB29" s="108"/>
      <c r="BC29" s="113"/>
      <c r="BD29" s="87"/>
      <c r="BE29" s="108"/>
      <c r="BF29" s="113"/>
      <c r="BG29" s="87"/>
      <c r="BH29" s="108"/>
      <c r="BI29" s="113"/>
      <c r="BJ29" s="87"/>
      <c r="BK29" s="108"/>
      <c r="BL29" s="117"/>
      <c r="BM29" s="108"/>
      <c r="BN29" s="70"/>
      <c r="BO29" s="108"/>
      <c r="BP29" s="113"/>
      <c r="BQ29" s="87"/>
      <c r="BR29" s="108"/>
      <c r="BS29" s="113"/>
      <c r="BT29" s="87"/>
      <c r="BU29" s="108"/>
      <c r="BV29" s="113"/>
      <c r="BW29" s="87"/>
      <c r="BX29" s="108"/>
      <c r="BY29" s="113"/>
      <c r="BZ29" s="87"/>
      <c r="CA29" s="108"/>
      <c r="CB29" s="117"/>
      <c r="CC29" s="108"/>
      <c r="CD29" s="70"/>
    </row>
    <row r="30" spans="1:82" x14ac:dyDescent="0.15">
      <c r="A30" s="68"/>
      <c r="B30" s="9"/>
      <c r="C30" s="110"/>
      <c r="D30" s="62">
        <v>0</v>
      </c>
      <c r="E30" s="87"/>
      <c r="F30" s="110"/>
      <c r="G30" s="62">
        <v>0</v>
      </c>
      <c r="H30" s="87"/>
      <c r="I30" s="110"/>
      <c r="J30" s="62">
        <v>0</v>
      </c>
      <c r="K30" s="87"/>
      <c r="L30" s="110"/>
      <c r="M30" s="62">
        <v>0</v>
      </c>
      <c r="N30" s="87"/>
      <c r="O30" s="110"/>
      <c r="P30" s="116">
        <f>SUM(D30:M30)</f>
        <v>0</v>
      </c>
      <c r="Q30" s="108"/>
      <c r="R30" s="9"/>
      <c r="S30" s="110"/>
      <c r="T30" s="62">
        <v>0</v>
      </c>
      <c r="U30" s="87"/>
      <c r="V30" s="110"/>
      <c r="W30" s="62">
        <v>0</v>
      </c>
      <c r="X30" s="87"/>
      <c r="Y30" s="110"/>
      <c r="Z30" s="62">
        <v>0</v>
      </c>
      <c r="AA30" s="87"/>
      <c r="AB30" s="110"/>
      <c r="AC30" s="62">
        <v>0</v>
      </c>
      <c r="AD30" s="87"/>
      <c r="AE30" s="110"/>
      <c r="AF30" s="116">
        <f>SUM(T30:AC30)</f>
        <v>0</v>
      </c>
      <c r="AG30" s="108"/>
      <c r="AH30" s="9"/>
      <c r="AI30" s="110"/>
      <c r="AJ30" s="62">
        <v>0</v>
      </c>
      <c r="AK30" s="87"/>
      <c r="AL30" s="110"/>
      <c r="AM30" s="62">
        <v>0</v>
      </c>
      <c r="AN30" s="87"/>
      <c r="AO30" s="110"/>
      <c r="AP30" s="62">
        <v>0</v>
      </c>
      <c r="AQ30" s="87"/>
      <c r="AR30" s="110"/>
      <c r="AS30" s="62">
        <v>0</v>
      </c>
      <c r="AT30" s="87"/>
      <c r="AU30" s="110"/>
      <c r="AV30" s="116">
        <f>SUM(AJ30:AS30)</f>
        <v>0</v>
      </c>
      <c r="AW30" s="108"/>
      <c r="AX30" s="9"/>
      <c r="AY30" s="110"/>
      <c r="AZ30" s="62">
        <v>0</v>
      </c>
      <c r="BA30" s="87"/>
      <c r="BB30" s="110"/>
      <c r="BC30" s="62">
        <v>0</v>
      </c>
      <c r="BD30" s="87"/>
      <c r="BE30" s="110"/>
      <c r="BF30" s="62">
        <v>0</v>
      </c>
      <c r="BG30" s="87"/>
      <c r="BH30" s="110"/>
      <c r="BI30" s="62">
        <v>0</v>
      </c>
      <c r="BJ30" s="87"/>
      <c r="BK30" s="110"/>
      <c r="BL30" s="116">
        <f>SUM(AZ30:BI30)</f>
        <v>0</v>
      </c>
      <c r="BM30" s="108"/>
      <c r="BN30" s="70"/>
      <c r="BO30" s="110"/>
      <c r="BP30" s="62">
        <f>+D30+T30+AJ30+AZ30</f>
        <v>0</v>
      </c>
      <c r="BQ30" s="87"/>
      <c r="BR30" s="110"/>
      <c r="BS30" s="62">
        <f>+G30+W30+AM30+BC30</f>
        <v>0</v>
      </c>
      <c r="BT30" s="87"/>
      <c r="BU30" s="110"/>
      <c r="BV30" s="62">
        <f>+J30+Z30+AP30+BF30</f>
        <v>0</v>
      </c>
      <c r="BW30" s="87"/>
      <c r="BX30" s="110"/>
      <c r="BY30" s="62">
        <f>+M30+AC30+AS30+BI30</f>
        <v>0</v>
      </c>
      <c r="BZ30" s="87"/>
      <c r="CA30" s="110"/>
      <c r="CB30" s="116">
        <f>SUM(BP30:BY30)</f>
        <v>0</v>
      </c>
      <c r="CC30" s="108"/>
      <c r="CD30" s="70"/>
    </row>
    <row r="31" spans="1:82" x14ac:dyDescent="0.15">
      <c r="A31" s="107"/>
      <c r="B31" s="9"/>
      <c r="C31" s="108"/>
      <c r="D31" s="114"/>
      <c r="E31" s="87"/>
      <c r="F31" s="108"/>
      <c r="G31" s="114"/>
      <c r="H31" s="87"/>
      <c r="I31" s="108"/>
      <c r="J31" s="114"/>
      <c r="K31" s="87"/>
      <c r="L31" s="108"/>
      <c r="M31" s="114"/>
      <c r="N31" s="87"/>
      <c r="O31" s="108"/>
      <c r="P31" s="112"/>
      <c r="Q31" s="108"/>
      <c r="R31" s="9"/>
      <c r="S31" s="108"/>
      <c r="T31" s="114"/>
      <c r="U31" s="87"/>
      <c r="V31" s="108"/>
      <c r="W31" s="114"/>
      <c r="X31" s="87"/>
      <c r="Y31" s="108"/>
      <c r="Z31" s="114"/>
      <c r="AA31" s="87"/>
      <c r="AB31" s="108"/>
      <c r="AC31" s="114"/>
      <c r="AD31" s="87"/>
      <c r="AE31" s="108"/>
      <c r="AF31" s="112"/>
      <c r="AG31" s="108"/>
      <c r="AH31" s="9"/>
      <c r="AI31" s="108"/>
      <c r="AJ31" s="114"/>
      <c r="AK31" s="87"/>
      <c r="AL31" s="108"/>
      <c r="AM31" s="114"/>
      <c r="AN31" s="87"/>
      <c r="AO31" s="108"/>
      <c r="AP31" s="114"/>
      <c r="AQ31" s="87"/>
      <c r="AR31" s="108"/>
      <c r="AS31" s="114"/>
      <c r="AT31" s="87"/>
      <c r="AU31" s="108"/>
      <c r="AV31" s="112"/>
      <c r="AW31" s="108"/>
      <c r="AX31" s="9"/>
      <c r="AY31" s="108"/>
      <c r="AZ31" s="114"/>
      <c r="BA31" s="87"/>
      <c r="BB31" s="108"/>
      <c r="BC31" s="114"/>
      <c r="BD31" s="87"/>
      <c r="BE31" s="108"/>
      <c r="BF31" s="114"/>
      <c r="BG31" s="87"/>
      <c r="BH31" s="108"/>
      <c r="BI31" s="114"/>
      <c r="BJ31" s="87"/>
      <c r="BK31" s="108"/>
      <c r="BL31" s="112"/>
      <c r="BM31" s="108"/>
      <c r="BN31" s="70"/>
      <c r="BO31" s="108"/>
      <c r="BP31" s="114"/>
      <c r="BQ31" s="87"/>
      <c r="BR31" s="108"/>
      <c r="BS31" s="114"/>
      <c r="BT31" s="87"/>
      <c r="BU31" s="108"/>
      <c r="BV31" s="114"/>
      <c r="BW31" s="87"/>
      <c r="BX31" s="108"/>
      <c r="BY31" s="114"/>
      <c r="BZ31" s="87"/>
      <c r="CA31" s="108"/>
      <c r="CB31" s="112"/>
      <c r="CC31" s="108"/>
      <c r="CD31" s="70"/>
    </row>
    <row r="32" spans="1:82" x14ac:dyDescent="0.15">
      <c r="A32" s="68"/>
      <c r="B32" s="9"/>
      <c r="C32" s="110"/>
      <c r="D32" s="62">
        <v>0</v>
      </c>
      <c r="E32" s="87"/>
      <c r="F32" s="110"/>
      <c r="G32" s="62">
        <v>0</v>
      </c>
      <c r="H32" s="87"/>
      <c r="I32" s="110"/>
      <c r="J32" s="62">
        <v>0</v>
      </c>
      <c r="K32" s="87"/>
      <c r="L32" s="110"/>
      <c r="M32" s="62">
        <v>0</v>
      </c>
      <c r="N32" s="87"/>
      <c r="O32" s="110"/>
      <c r="P32" s="116">
        <f>SUM(D32:M32)</f>
        <v>0</v>
      </c>
      <c r="Q32" s="108"/>
      <c r="R32" s="9"/>
      <c r="S32" s="110"/>
      <c r="T32" s="62">
        <v>0</v>
      </c>
      <c r="U32" s="87"/>
      <c r="V32" s="110"/>
      <c r="W32" s="62">
        <v>0</v>
      </c>
      <c r="X32" s="87"/>
      <c r="Y32" s="110"/>
      <c r="Z32" s="62">
        <v>0</v>
      </c>
      <c r="AA32" s="87"/>
      <c r="AB32" s="110"/>
      <c r="AC32" s="62">
        <v>0</v>
      </c>
      <c r="AD32" s="87"/>
      <c r="AE32" s="110"/>
      <c r="AF32" s="116">
        <f>SUM(T32:AC32)</f>
        <v>0</v>
      </c>
      <c r="AG32" s="108"/>
      <c r="AH32" s="9"/>
      <c r="AI32" s="110"/>
      <c r="AJ32" s="62">
        <v>0</v>
      </c>
      <c r="AK32" s="87"/>
      <c r="AL32" s="110"/>
      <c r="AM32" s="62">
        <v>0</v>
      </c>
      <c r="AN32" s="87"/>
      <c r="AO32" s="110"/>
      <c r="AP32" s="62">
        <v>0</v>
      </c>
      <c r="AQ32" s="87"/>
      <c r="AR32" s="110"/>
      <c r="AS32" s="62">
        <v>0</v>
      </c>
      <c r="AT32" s="87"/>
      <c r="AU32" s="110"/>
      <c r="AV32" s="116">
        <f>SUM(AJ32:AS32)</f>
        <v>0</v>
      </c>
      <c r="AW32" s="108"/>
      <c r="AX32" s="9"/>
      <c r="AY32" s="110"/>
      <c r="AZ32" s="62">
        <v>0</v>
      </c>
      <c r="BA32" s="87"/>
      <c r="BB32" s="110"/>
      <c r="BC32" s="62">
        <v>0</v>
      </c>
      <c r="BD32" s="87"/>
      <c r="BE32" s="110"/>
      <c r="BF32" s="62">
        <v>0</v>
      </c>
      <c r="BG32" s="87"/>
      <c r="BH32" s="110"/>
      <c r="BI32" s="62">
        <v>0</v>
      </c>
      <c r="BJ32" s="87"/>
      <c r="BK32" s="110"/>
      <c r="BL32" s="116">
        <f>SUM(AZ32:BI32)</f>
        <v>0</v>
      </c>
      <c r="BM32" s="108"/>
      <c r="BN32" s="70"/>
      <c r="BO32" s="110"/>
      <c r="BP32" s="62">
        <f>+D32+T32+AJ32+AZ32</f>
        <v>0</v>
      </c>
      <c r="BQ32" s="87"/>
      <c r="BR32" s="110"/>
      <c r="BS32" s="62">
        <f>+G32+W32+AM32+BC32</f>
        <v>0</v>
      </c>
      <c r="BT32" s="87"/>
      <c r="BU32" s="110"/>
      <c r="BV32" s="62">
        <f>+J32+Z32+AP32+BF32</f>
        <v>0</v>
      </c>
      <c r="BW32" s="87"/>
      <c r="BX32" s="110"/>
      <c r="BY32" s="62">
        <f>+M32+AC32+AS32+BI32</f>
        <v>0</v>
      </c>
      <c r="BZ32" s="87"/>
      <c r="CA32" s="110"/>
      <c r="CB32" s="116">
        <f>SUM(BP32:BY32)</f>
        <v>0</v>
      </c>
      <c r="CC32" s="108"/>
      <c r="CD32" s="70"/>
    </row>
    <row r="33" spans="1:82" x14ac:dyDescent="0.15">
      <c r="A33" s="87"/>
      <c r="B33" s="9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18"/>
      <c r="Q33" s="108"/>
      <c r="R33" s="9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18"/>
      <c r="AG33" s="108"/>
      <c r="AH33" s="9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18"/>
      <c r="AW33" s="108"/>
      <c r="AX33" s="9"/>
      <c r="AY33" s="108"/>
      <c r="AZ33" s="108"/>
      <c r="BA33" s="108"/>
      <c r="BB33" s="108"/>
      <c r="BC33" s="108"/>
      <c r="BD33" s="108"/>
      <c r="BE33" s="108"/>
      <c r="BF33" s="108"/>
      <c r="BG33" s="108"/>
      <c r="BH33" s="108"/>
      <c r="BI33" s="108"/>
      <c r="BJ33" s="108"/>
      <c r="BK33" s="108"/>
      <c r="BL33" s="118"/>
      <c r="BM33" s="108"/>
      <c r="BN33" s="70"/>
      <c r="BO33" s="108"/>
      <c r="BP33" s="108"/>
      <c r="BQ33" s="108"/>
      <c r="BR33" s="108"/>
      <c r="BS33" s="108"/>
      <c r="BT33" s="108"/>
      <c r="BU33" s="108"/>
      <c r="BV33" s="108"/>
      <c r="BW33" s="108"/>
      <c r="BX33" s="108"/>
      <c r="BY33" s="108"/>
      <c r="BZ33" s="108"/>
      <c r="CA33" s="108"/>
      <c r="CB33" s="118"/>
      <c r="CC33" s="108"/>
      <c r="CD33" s="70"/>
    </row>
    <row r="34" spans="1:82" x14ac:dyDescent="0.15">
      <c r="A34" s="87"/>
      <c r="B34" s="9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9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9"/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9"/>
      <c r="AY34" s="108"/>
      <c r="AZ34" s="108"/>
      <c r="BA34" s="108"/>
      <c r="BB34" s="108"/>
      <c r="BC34" s="108"/>
      <c r="BD34" s="108"/>
      <c r="BE34" s="108"/>
      <c r="BF34" s="108"/>
      <c r="BG34" s="108"/>
      <c r="BH34" s="108"/>
      <c r="BI34" s="108"/>
      <c r="BJ34" s="108"/>
      <c r="BK34" s="108"/>
      <c r="BL34" s="108"/>
      <c r="BM34" s="108"/>
      <c r="BN34" s="70"/>
      <c r="BO34" s="108"/>
      <c r="BP34" s="108"/>
      <c r="BQ34" s="108"/>
      <c r="BR34" s="108"/>
      <c r="BS34" s="108"/>
      <c r="BT34" s="108"/>
      <c r="BU34" s="108"/>
      <c r="BV34" s="108"/>
      <c r="BW34" s="108"/>
      <c r="BX34" s="108"/>
      <c r="BY34" s="108"/>
      <c r="BZ34" s="108"/>
      <c r="CA34" s="108"/>
      <c r="CB34" s="108"/>
      <c r="CC34" s="108"/>
      <c r="CD34" s="70"/>
    </row>
    <row r="35" spans="1:82" ht="16" x14ac:dyDescent="0.2">
      <c r="A35" s="128" t="s">
        <v>55</v>
      </c>
      <c r="B35" s="9"/>
      <c r="C35" s="109"/>
      <c r="D35" s="115">
        <f>SUM(D37:D56)</f>
        <v>0</v>
      </c>
      <c r="E35" s="111"/>
      <c r="F35" s="109"/>
      <c r="G35" s="115">
        <f>SUM(G37:G56)</f>
        <v>180000</v>
      </c>
      <c r="H35" s="111"/>
      <c r="I35" s="109"/>
      <c r="J35" s="115">
        <f>SUM(J37:J56)</f>
        <v>210000</v>
      </c>
      <c r="K35" s="111"/>
      <c r="L35" s="109"/>
      <c r="M35" s="115">
        <f>SUM(M37:M56)</f>
        <v>250000</v>
      </c>
      <c r="N35" s="111"/>
      <c r="O35" s="119"/>
      <c r="P35" s="121">
        <f>SUM(P37:P56)</f>
        <v>640000</v>
      </c>
      <c r="Q35" s="120"/>
      <c r="R35" s="9"/>
      <c r="S35" s="109"/>
      <c r="T35" s="115">
        <f>SUM(T37:T56)</f>
        <v>0</v>
      </c>
      <c r="U35" s="111"/>
      <c r="V35" s="109"/>
      <c r="W35" s="115">
        <f>SUM(W37:W56)</f>
        <v>0</v>
      </c>
      <c r="X35" s="111"/>
      <c r="Y35" s="109"/>
      <c r="Z35" s="115">
        <f>SUM(Z37:Z56)</f>
        <v>0</v>
      </c>
      <c r="AA35" s="111"/>
      <c r="AB35" s="109"/>
      <c r="AC35" s="115">
        <f>SUM(AC37:AC56)</f>
        <v>0</v>
      </c>
      <c r="AD35" s="111"/>
      <c r="AE35" s="119"/>
      <c r="AF35" s="121">
        <f>SUM(AF37:AF56)</f>
        <v>0</v>
      </c>
      <c r="AG35" s="120"/>
      <c r="AH35" s="9"/>
      <c r="AI35" s="109"/>
      <c r="AJ35" s="115">
        <f>SUM(AJ37:AJ56)</f>
        <v>0</v>
      </c>
      <c r="AK35" s="111"/>
      <c r="AL35" s="109"/>
      <c r="AM35" s="115">
        <f>SUM(AM37:AM56)</f>
        <v>0</v>
      </c>
      <c r="AN35" s="111"/>
      <c r="AO35" s="109"/>
      <c r="AP35" s="115">
        <f>SUM(AP37:AP56)</f>
        <v>0</v>
      </c>
      <c r="AQ35" s="111"/>
      <c r="AR35" s="109"/>
      <c r="AS35" s="115">
        <f>SUM(AS37:AS56)</f>
        <v>0</v>
      </c>
      <c r="AT35" s="111"/>
      <c r="AU35" s="119"/>
      <c r="AV35" s="121">
        <f>SUM(AV37:AV56)</f>
        <v>0</v>
      </c>
      <c r="AW35" s="120"/>
      <c r="AX35" s="9"/>
      <c r="AY35" s="109"/>
      <c r="AZ35" s="115">
        <f>SUM(AZ37:AZ56)</f>
        <v>0</v>
      </c>
      <c r="BA35" s="111"/>
      <c r="BB35" s="109"/>
      <c r="BC35" s="115">
        <f>SUM(BC37:BC56)</f>
        <v>0</v>
      </c>
      <c r="BD35" s="111"/>
      <c r="BE35" s="109"/>
      <c r="BF35" s="115">
        <f>SUM(BF37:BF56)</f>
        <v>0</v>
      </c>
      <c r="BG35" s="111"/>
      <c r="BH35" s="109"/>
      <c r="BI35" s="115">
        <f>SUM(BI37:BI56)</f>
        <v>0</v>
      </c>
      <c r="BJ35" s="111"/>
      <c r="BK35" s="119"/>
      <c r="BL35" s="121">
        <f>SUM(BL37:BL56)</f>
        <v>0</v>
      </c>
      <c r="BM35" s="120"/>
      <c r="BN35" s="70"/>
      <c r="BO35" s="109"/>
      <c r="BP35" s="115">
        <f>SUM(BP37:BP56)</f>
        <v>0</v>
      </c>
      <c r="BQ35" s="111"/>
      <c r="BR35" s="109"/>
      <c r="BS35" s="115">
        <f>SUM(BS37:BS56)</f>
        <v>180000</v>
      </c>
      <c r="BT35" s="111"/>
      <c r="BU35" s="109"/>
      <c r="BV35" s="115">
        <f>SUM(BV37:BV56)</f>
        <v>210000</v>
      </c>
      <c r="BW35" s="111"/>
      <c r="BX35" s="109"/>
      <c r="BY35" s="115">
        <f>SUM(BY37:BY56)</f>
        <v>250000</v>
      </c>
      <c r="BZ35" s="111"/>
      <c r="CA35" s="119"/>
      <c r="CB35" s="121">
        <f>SUM(CB37:CB56)</f>
        <v>640000</v>
      </c>
      <c r="CC35" s="120"/>
      <c r="CD35" s="70"/>
    </row>
    <row r="36" spans="1:82" x14ac:dyDescent="0.15">
      <c r="A36" s="105"/>
      <c r="B36" s="9"/>
      <c r="C36" s="108"/>
      <c r="D36" s="112"/>
      <c r="E36" s="108"/>
      <c r="F36" s="108"/>
      <c r="G36" s="112"/>
      <c r="H36" s="108"/>
      <c r="I36" s="108"/>
      <c r="J36" s="112"/>
      <c r="K36" s="108"/>
      <c r="L36" s="108"/>
      <c r="M36" s="112"/>
      <c r="N36" s="108"/>
      <c r="O36" s="108"/>
      <c r="P36" s="112"/>
      <c r="Q36" s="108"/>
      <c r="R36" s="9"/>
      <c r="S36" s="108"/>
      <c r="T36" s="112"/>
      <c r="U36" s="108"/>
      <c r="V36" s="108"/>
      <c r="W36" s="112"/>
      <c r="X36" s="108"/>
      <c r="Y36" s="108"/>
      <c r="Z36" s="112"/>
      <c r="AA36" s="108"/>
      <c r="AB36" s="108"/>
      <c r="AC36" s="112"/>
      <c r="AD36" s="108"/>
      <c r="AE36" s="108"/>
      <c r="AF36" s="112"/>
      <c r="AG36" s="108"/>
      <c r="AH36" s="9"/>
      <c r="AI36" s="108"/>
      <c r="AJ36" s="112"/>
      <c r="AK36" s="108"/>
      <c r="AL36" s="108"/>
      <c r="AM36" s="112"/>
      <c r="AN36" s="108"/>
      <c r="AO36" s="108"/>
      <c r="AP36" s="112"/>
      <c r="AQ36" s="108"/>
      <c r="AR36" s="108"/>
      <c r="AS36" s="112"/>
      <c r="AT36" s="108"/>
      <c r="AU36" s="108"/>
      <c r="AV36" s="112"/>
      <c r="AW36" s="108"/>
      <c r="AX36" s="9"/>
      <c r="AY36" s="108"/>
      <c r="AZ36" s="112"/>
      <c r="BA36" s="108"/>
      <c r="BB36" s="108"/>
      <c r="BC36" s="112"/>
      <c r="BD36" s="108"/>
      <c r="BE36" s="108"/>
      <c r="BF36" s="112"/>
      <c r="BG36" s="108"/>
      <c r="BH36" s="108"/>
      <c r="BI36" s="112"/>
      <c r="BJ36" s="108"/>
      <c r="BK36" s="108"/>
      <c r="BL36" s="112"/>
      <c r="BM36" s="108"/>
      <c r="BN36" s="70"/>
      <c r="BO36" s="108"/>
      <c r="BP36" s="112"/>
      <c r="BQ36" s="108"/>
      <c r="BR36" s="108"/>
      <c r="BS36" s="112"/>
      <c r="BT36" s="108"/>
      <c r="BU36" s="108"/>
      <c r="BV36" s="112"/>
      <c r="BW36" s="108"/>
      <c r="BX36" s="108"/>
      <c r="BY36" s="112"/>
      <c r="BZ36" s="108"/>
      <c r="CA36" s="108"/>
      <c r="CB36" s="112"/>
      <c r="CC36" s="108"/>
      <c r="CD36" s="70"/>
    </row>
    <row r="37" spans="1:82" x14ac:dyDescent="0.15">
      <c r="A37" s="68" t="s">
        <v>136</v>
      </c>
      <c r="B37" s="9"/>
      <c r="C37" s="110"/>
      <c r="D37" s="62">
        <v>0</v>
      </c>
      <c r="E37" s="87"/>
      <c r="F37" s="110"/>
      <c r="G37" s="62">
        <v>180000</v>
      </c>
      <c r="H37" s="87"/>
      <c r="I37" s="110"/>
      <c r="J37" s="62">
        <v>210000</v>
      </c>
      <c r="K37" s="87"/>
      <c r="L37" s="110"/>
      <c r="M37" s="62">
        <v>250000</v>
      </c>
      <c r="N37" s="87"/>
      <c r="O37" s="110"/>
      <c r="P37" s="116">
        <f>SUM(D37:M37)</f>
        <v>640000</v>
      </c>
      <c r="Q37" s="108"/>
      <c r="R37" s="9"/>
      <c r="S37" s="110"/>
      <c r="T37" s="62">
        <v>0</v>
      </c>
      <c r="U37" s="87"/>
      <c r="V37" s="110"/>
      <c r="W37" s="62">
        <v>0</v>
      </c>
      <c r="X37" s="87"/>
      <c r="Y37" s="110"/>
      <c r="Z37" s="62">
        <v>0</v>
      </c>
      <c r="AA37" s="87"/>
      <c r="AB37" s="110"/>
      <c r="AC37" s="62">
        <v>0</v>
      </c>
      <c r="AD37" s="87"/>
      <c r="AE37" s="110"/>
      <c r="AF37" s="116">
        <f>SUM(T37:AC37)</f>
        <v>0</v>
      </c>
      <c r="AG37" s="108"/>
      <c r="AH37" s="9"/>
      <c r="AI37" s="110"/>
      <c r="AJ37" s="62">
        <v>0</v>
      </c>
      <c r="AK37" s="87"/>
      <c r="AL37" s="110"/>
      <c r="AM37" s="62">
        <v>0</v>
      </c>
      <c r="AN37" s="87"/>
      <c r="AO37" s="110"/>
      <c r="AP37" s="62">
        <v>0</v>
      </c>
      <c r="AQ37" s="87"/>
      <c r="AR37" s="110"/>
      <c r="AS37" s="62">
        <v>0</v>
      </c>
      <c r="AT37" s="87"/>
      <c r="AU37" s="110"/>
      <c r="AV37" s="116">
        <f>SUM(AJ37:AS37)</f>
        <v>0</v>
      </c>
      <c r="AW37" s="108"/>
      <c r="AX37" s="9"/>
      <c r="AY37" s="110"/>
      <c r="AZ37" s="62">
        <v>0</v>
      </c>
      <c r="BA37" s="87"/>
      <c r="BB37" s="110"/>
      <c r="BC37" s="62">
        <v>0</v>
      </c>
      <c r="BD37" s="87"/>
      <c r="BE37" s="110"/>
      <c r="BF37" s="62">
        <v>0</v>
      </c>
      <c r="BG37" s="87"/>
      <c r="BH37" s="110"/>
      <c r="BI37" s="62">
        <v>0</v>
      </c>
      <c r="BJ37" s="87"/>
      <c r="BK37" s="110"/>
      <c r="BL37" s="116">
        <f>SUM(AZ37:BI37)</f>
        <v>0</v>
      </c>
      <c r="BM37" s="108"/>
      <c r="BN37" s="70"/>
      <c r="BO37" s="110"/>
      <c r="BP37" s="62">
        <f>+D37+T37+AJ37+AZ37</f>
        <v>0</v>
      </c>
      <c r="BQ37" s="87"/>
      <c r="BR37" s="110"/>
      <c r="BS37" s="62">
        <f>+G37+W37+AM37+BC37</f>
        <v>180000</v>
      </c>
      <c r="BT37" s="87"/>
      <c r="BU37" s="110"/>
      <c r="BV37" s="62">
        <f>+J37+Z37+AP37+BF37</f>
        <v>210000</v>
      </c>
      <c r="BW37" s="87"/>
      <c r="BX37" s="110"/>
      <c r="BY37" s="62">
        <f>+M37+AC37+AS37+BI37</f>
        <v>250000</v>
      </c>
      <c r="BZ37" s="87"/>
      <c r="CA37" s="110"/>
      <c r="CB37" s="116">
        <f>SUM(BP37:BY37)</f>
        <v>640000</v>
      </c>
      <c r="CC37" s="108"/>
      <c r="CD37" s="70"/>
    </row>
    <row r="38" spans="1:82" x14ac:dyDescent="0.15">
      <c r="A38" s="106"/>
      <c r="B38" s="9"/>
      <c r="C38" s="108"/>
      <c r="D38" s="113"/>
      <c r="E38" s="87"/>
      <c r="F38" s="108"/>
      <c r="G38" s="113"/>
      <c r="H38" s="87"/>
      <c r="I38" s="108"/>
      <c r="J38" s="113"/>
      <c r="K38" s="87"/>
      <c r="L38" s="108"/>
      <c r="M38" s="113"/>
      <c r="N38" s="87"/>
      <c r="O38" s="108"/>
      <c r="P38" s="117"/>
      <c r="Q38" s="108"/>
      <c r="R38" s="9"/>
      <c r="S38" s="108"/>
      <c r="T38" s="113"/>
      <c r="U38" s="87"/>
      <c r="V38" s="108"/>
      <c r="W38" s="113"/>
      <c r="X38" s="87"/>
      <c r="Y38" s="108"/>
      <c r="Z38" s="113"/>
      <c r="AA38" s="87"/>
      <c r="AB38" s="108"/>
      <c r="AC38" s="113"/>
      <c r="AD38" s="87"/>
      <c r="AE38" s="108"/>
      <c r="AF38" s="117"/>
      <c r="AG38" s="108"/>
      <c r="AH38" s="9"/>
      <c r="AI38" s="108"/>
      <c r="AJ38" s="113"/>
      <c r="AK38" s="87"/>
      <c r="AL38" s="108"/>
      <c r="AM38" s="113"/>
      <c r="AN38" s="87"/>
      <c r="AO38" s="108"/>
      <c r="AP38" s="113"/>
      <c r="AQ38" s="87"/>
      <c r="AR38" s="108"/>
      <c r="AS38" s="113"/>
      <c r="AT38" s="87"/>
      <c r="AU38" s="108"/>
      <c r="AV38" s="117"/>
      <c r="AW38" s="108"/>
      <c r="AX38" s="9"/>
      <c r="AY38" s="108"/>
      <c r="AZ38" s="113"/>
      <c r="BA38" s="87"/>
      <c r="BB38" s="108"/>
      <c r="BC38" s="113"/>
      <c r="BD38" s="87"/>
      <c r="BE38" s="108"/>
      <c r="BF38" s="113"/>
      <c r="BG38" s="87"/>
      <c r="BH38" s="108"/>
      <c r="BI38" s="113"/>
      <c r="BJ38" s="87"/>
      <c r="BK38" s="108"/>
      <c r="BL38" s="117"/>
      <c r="BM38" s="108"/>
      <c r="BN38" s="70"/>
      <c r="BO38" s="108"/>
      <c r="BP38" s="113"/>
      <c r="BQ38" s="87"/>
      <c r="BR38" s="108"/>
      <c r="BS38" s="113"/>
      <c r="BT38" s="87"/>
      <c r="BU38" s="108"/>
      <c r="BV38" s="113"/>
      <c r="BW38" s="87"/>
      <c r="BX38" s="108"/>
      <c r="BY38" s="113"/>
      <c r="BZ38" s="87"/>
      <c r="CA38" s="108"/>
      <c r="CB38" s="117"/>
      <c r="CC38" s="108"/>
      <c r="CD38" s="70"/>
    </row>
    <row r="39" spans="1:82" x14ac:dyDescent="0.15">
      <c r="A39" s="68"/>
      <c r="B39" s="9"/>
      <c r="C39" s="110"/>
      <c r="D39" s="62">
        <v>0</v>
      </c>
      <c r="E39" s="87"/>
      <c r="F39" s="110"/>
      <c r="G39" s="62">
        <v>0</v>
      </c>
      <c r="H39" s="87"/>
      <c r="I39" s="110"/>
      <c r="J39" s="62">
        <v>0</v>
      </c>
      <c r="K39" s="87"/>
      <c r="L39" s="110"/>
      <c r="M39" s="62">
        <v>0</v>
      </c>
      <c r="N39" s="87"/>
      <c r="O39" s="110"/>
      <c r="P39" s="116">
        <f>SUM(D39:M39)</f>
        <v>0</v>
      </c>
      <c r="Q39" s="108"/>
      <c r="R39" s="9"/>
      <c r="S39" s="110"/>
      <c r="T39" s="62">
        <v>0</v>
      </c>
      <c r="U39" s="87"/>
      <c r="V39" s="110"/>
      <c r="W39" s="62">
        <v>0</v>
      </c>
      <c r="X39" s="87"/>
      <c r="Y39" s="110"/>
      <c r="Z39" s="62">
        <v>0</v>
      </c>
      <c r="AA39" s="87"/>
      <c r="AB39" s="110"/>
      <c r="AC39" s="62">
        <v>0</v>
      </c>
      <c r="AD39" s="87"/>
      <c r="AE39" s="110"/>
      <c r="AF39" s="116">
        <f>SUM(T39:AC39)</f>
        <v>0</v>
      </c>
      <c r="AG39" s="108"/>
      <c r="AH39" s="9"/>
      <c r="AI39" s="110"/>
      <c r="AJ39" s="62">
        <v>0</v>
      </c>
      <c r="AK39" s="87"/>
      <c r="AL39" s="110"/>
      <c r="AM39" s="62">
        <v>0</v>
      </c>
      <c r="AN39" s="87"/>
      <c r="AO39" s="110"/>
      <c r="AP39" s="62">
        <v>0</v>
      </c>
      <c r="AQ39" s="87"/>
      <c r="AR39" s="110"/>
      <c r="AS39" s="62">
        <v>0</v>
      </c>
      <c r="AT39" s="87"/>
      <c r="AU39" s="110"/>
      <c r="AV39" s="116">
        <f>SUM(AJ39:AS39)</f>
        <v>0</v>
      </c>
      <c r="AW39" s="108"/>
      <c r="AX39" s="9"/>
      <c r="AY39" s="110"/>
      <c r="AZ39" s="62">
        <v>0</v>
      </c>
      <c r="BA39" s="87"/>
      <c r="BB39" s="110"/>
      <c r="BC39" s="62">
        <v>0</v>
      </c>
      <c r="BD39" s="87"/>
      <c r="BE39" s="110"/>
      <c r="BF39" s="62">
        <v>0</v>
      </c>
      <c r="BG39" s="87"/>
      <c r="BH39" s="110"/>
      <c r="BI39" s="62">
        <v>0</v>
      </c>
      <c r="BJ39" s="87"/>
      <c r="BK39" s="110"/>
      <c r="BL39" s="116">
        <f>SUM(AZ39:BI39)</f>
        <v>0</v>
      </c>
      <c r="BM39" s="108"/>
      <c r="BN39" s="70"/>
      <c r="BO39" s="110"/>
      <c r="BP39" s="62">
        <f>+D39+T39+AJ39+AZ39</f>
        <v>0</v>
      </c>
      <c r="BQ39" s="87"/>
      <c r="BR39" s="110"/>
      <c r="BS39" s="62">
        <f>+G39+W39+AM39+BC39</f>
        <v>0</v>
      </c>
      <c r="BT39" s="87"/>
      <c r="BU39" s="110"/>
      <c r="BV39" s="62">
        <f>+J39+Z39+AP39+BF39</f>
        <v>0</v>
      </c>
      <c r="BW39" s="87"/>
      <c r="BX39" s="110"/>
      <c r="BY39" s="62">
        <f>+M39+AC39+AS39+BI39</f>
        <v>0</v>
      </c>
      <c r="BZ39" s="87"/>
      <c r="CA39" s="110"/>
      <c r="CB39" s="116">
        <f>SUM(BP39:BY39)</f>
        <v>0</v>
      </c>
      <c r="CC39" s="108"/>
      <c r="CD39" s="70"/>
    </row>
    <row r="40" spans="1:82" x14ac:dyDescent="0.15">
      <c r="A40" s="107"/>
      <c r="B40" s="9"/>
      <c r="C40" s="108"/>
      <c r="D40" s="114"/>
      <c r="E40" s="87"/>
      <c r="F40" s="108"/>
      <c r="G40" s="114"/>
      <c r="H40" s="87"/>
      <c r="I40" s="108"/>
      <c r="J40" s="114"/>
      <c r="K40" s="87"/>
      <c r="L40" s="108"/>
      <c r="M40" s="114"/>
      <c r="N40" s="87"/>
      <c r="O40" s="108"/>
      <c r="P40" s="112"/>
      <c r="Q40" s="108"/>
      <c r="R40" s="9"/>
      <c r="S40" s="108"/>
      <c r="T40" s="114"/>
      <c r="U40" s="87"/>
      <c r="V40" s="108"/>
      <c r="W40" s="114"/>
      <c r="X40" s="87"/>
      <c r="Y40" s="108"/>
      <c r="Z40" s="114"/>
      <c r="AA40" s="87"/>
      <c r="AB40" s="108"/>
      <c r="AC40" s="114"/>
      <c r="AD40" s="87"/>
      <c r="AE40" s="108"/>
      <c r="AF40" s="112"/>
      <c r="AG40" s="108"/>
      <c r="AH40" s="9"/>
      <c r="AI40" s="108"/>
      <c r="AJ40" s="114"/>
      <c r="AK40" s="87"/>
      <c r="AL40" s="108"/>
      <c r="AM40" s="114"/>
      <c r="AN40" s="87"/>
      <c r="AO40" s="108"/>
      <c r="AP40" s="114"/>
      <c r="AQ40" s="87"/>
      <c r="AR40" s="108"/>
      <c r="AS40" s="114"/>
      <c r="AT40" s="87"/>
      <c r="AU40" s="108"/>
      <c r="AV40" s="112"/>
      <c r="AW40" s="108"/>
      <c r="AX40" s="9"/>
      <c r="AY40" s="108"/>
      <c r="AZ40" s="114"/>
      <c r="BA40" s="87"/>
      <c r="BB40" s="108"/>
      <c r="BC40" s="114"/>
      <c r="BD40" s="87"/>
      <c r="BE40" s="108"/>
      <c r="BF40" s="114"/>
      <c r="BG40" s="87"/>
      <c r="BH40" s="108"/>
      <c r="BI40" s="114"/>
      <c r="BJ40" s="87"/>
      <c r="BK40" s="108"/>
      <c r="BL40" s="112"/>
      <c r="BM40" s="108"/>
      <c r="BN40" s="70"/>
      <c r="BO40" s="108"/>
      <c r="BP40" s="114"/>
      <c r="BQ40" s="87"/>
      <c r="BR40" s="108"/>
      <c r="BS40" s="114"/>
      <c r="BT40" s="87"/>
      <c r="BU40" s="108"/>
      <c r="BV40" s="114"/>
      <c r="BW40" s="87"/>
      <c r="BX40" s="108"/>
      <c r="BY40" s="114"/>
      <c r="BZ40" s="87"/>
      <c r="CA40" s="108"/>
      <c r="CB40" s="112"/>
      <c r="CC40" s="108"/>
      <c r="CD40" s="70"/>
    </row>
    <row r="41" spans="1:82" x14ac:dyDescent="0.15">
      <c r="A41" s="68"/>
      <c r="B41" s="9"/>
      <c r="C41" s="110"/>
      <c r="D41" s="62">
        <v>0</v>
      </c>
      <c r="E41" s="87"/>
      <c r="F41" s="110"/>
      <c r="G41" s="62">
        <v>0</v>
      </c>
      <c r="H41" s="87"/>
      <c r="I41" s="110"/>
      <c r="J41" s="62">
        <v>0</v>
      </c>
      <c r="K41" s="87"/>
      <c r="L41" s="110"/>
      <c r="M41" s="62">
        <v>0</v>
      </c>
      <c r="N41" s="87"/>
      <c r="O41" s="110"/>
      <c r="P41" s="116">
        <f>SUM(D41:M41)</f>
        <v>0</v>
      </c>
      <c r="Q41" s="108"/>
      <c r="R41" s="9"/>
      <c r="S41" s="110"/>
      <c r="T41" s="62">
        <v>0</v>
      </c>
      <c r="U41" s="87"/>
      <c r="V41" s="110"/>
      <c r="W41" s="62">
        <v>0</v>
      </c>
      <c r="X41" s="87"/>
      <c r="Y41" s="110"/>
      <c r="Z41" s="62">
        <v>0</v>
      </c>
      <c r="AA41" s="87"/>
      <c r="AB41" s="110"/>
      <c r="AC41" s="62">
        <v>0</v>
      </c>
      <c r="AD41" s="87"/>
      <c r="AE41" s="110"/>
      <c r="AF41" s="116">
        <f>SUM(T41:AC41)</f>
        <v>0</v>
      </c>
      <c r="AG41" s="108"/>
      <c r="AH41" s="9"/>
      <c r="AI41" s="110"/>
      <c r="AJ41" s="62">
        <v>0</v>
      </c>
      <c r="AK41" s="87"/>
      <c r="AL41" s="110"/>
      <c r="AM41" s="62">
        <v>0</v>
      </c>
      <c r="AN41" s="87"/>
      <c r="AO41" s="110"/>
      <c r="AP41" s="62">
        <v>0</v>
      </c>
      <c r="AQ41" s="87"/>
      <c r="AR41" s="110"/>
      <c r="AS41" s="62">
        <v>0</v>
      </c>
      <c r="AT41" s="87"/>
      <c r="AU41" s="110"/>
      <c r="AV41" s="116">
        <f>SUM(AJ41:AS41)</f>
        <v>0</v>
      </c>
      <c r="AW41" s="108"/>
      <c r="AX41" s="9"/>
      <c r="AY41" s="110"/>
      <c r="AZ41" s="62">
        <v>0</v>
      </c>
      <c r="BA41" s="87"/>
      <c r="BB41" s="110"/>
      <c r="BC41" s="62">
        <v>0</v>
      </c>
      <c r="BD41" s="87"/>
      <c r="BE41" s="110"/>
      <c r="BF41" s="62">
        <v>0</v>
      </c>
      <c r="BG41" s="87"/>
      <c r="BH41" s="110"/>
      <c r="BI41" s="62">
        <v>0</v>
      </c>
      <c r="BJ41" s="87"/>
      <c r="BK41" s="110"/>
      <c r="BL41" s="116">
        <f>SUM(AZ41:BI41)</f>
        <v>0</v>
      </c>
      <c r="BM41" s="108"/>
      <c r="BN41" s="70"/>
      <c r="BO41" s="110"/>
      <c r="BP41" s="62">
        <f>+D41+T41+AJ41+AZ41</f>
        <v>0</v>
      </c>
      <c r="BQ41" s="87"/>
      <c r="BR41" s="110"/>
      <c r="BS41" s="62">
        <f>+G41+W41+AM41+BC41</f>
        <v>0</v>
      </c>
      <c r="BT41" s="87"/>
      <c r="BU41" s="110"/>
      <c r="BV41" s="62">
        <f>+J41+Z41+AP41+BF41</f>
        <v>0</v>
      </c>
      <c r="BW41" s="87"/>
      <c r="BX41" s="110"/>
      <c r="BY41" s="62">
        <f>+M41+AC41+AS41+BI41</f>
        <v>0</v>
      </c>
      <c r="BZ41" s="87"/>
      <c r="CA41" s="110"/>
      <c r="CB41" s="116">
        <f>SUM(BP41:BY41)</f>
        <v>0</v>
      </c>
      <c r="CC41" s="108"/>
      <c r="CD41" s="70"/>
    </row>
    <row r="42" spans="1:82" x14ac:dyDescent="0.15">
      <c r="A42" s="107"/>
      <c r="B42" s="9"/>
      <c r="C42" s="108"/>
      <c r="D42" s="113"/>
      <c r="E42" s="87"/>
      <c r="F42" s="108"/>
      <c r="G42" s="113"/>
      <c r="H42" s="87"/>
      <c r="I42" s="108"/>
      <c r="J42" s="113"/>
      <c r="K42" s="87"/>
      <c r="L42" s="108"/>
      <c r="M42" s="113"/>
      <c r="N42" s="87"/>
      <c r="O42" s="108"/>
      <c r="P42" s="112"/>
      <c r="Q42" s="108"/>
      <c r="R42" s="9"/>
      <c r="S42" s="108"/>
      <c r="T42" s="113"/>
      <c r="U42" s="87"/>
      <c r="V42" s="108"/>
      <c r="W42" s="113"/>
      <c r="X42" s="87"/>
      <c r="Y42" s="108"/>
      <c r="Z42" s="113"/>
      <c r="AA42" s="87"/>
      <c r="AB42" s="108"/>
      <c r="AC42" s="113"/>
      <c r="AD42" s="87"/>
      <c r="AE42" s="108"/>
      <c r="AF42" s="112"/>
      <c r="AG42" s="108"/>
      <c r="AH42" s="9"/>
      <c r="AI42" s="108"/>
      <c r="AJ42" s="113"/>
      <c r="AK42" s="87"/>
      <c r="AL42" s="108"/>
      <c r="AM42" s="113"/>
      <c r="AN42" s="87"/>
      <c r="AO42" s="108"/>
      <c r="AP42" s="113"/>
      <c r="AQ42" s="87"/>
      <c r="AR42" s="108"/>
      <c r="AS42" s="113"/>
      <c r="AT42" s="87"/>
      <c r="AU42" s="108"/>
      <c r="AV42" s="112"/>
      <c r="AW42" s="108"/>
      <c r="AX42" s="9"/>
      <c r="AY42" s="108"/>
      <c r="AZ42" s="113"/>
      <c r="BA42" s="87"/>
      <c r="BB42" s="108"/>
      <c r="BC42" s="113"/>
      <c r="BD42" s="87"/>
      <c r="BE42" s="108"/>
      <c r="BF42" s="113"/>
      <c r="BG42" s="87"/>
      <c r="BH42" s="108"/>
      <c r="BI42" s="113"/>
      <c r="BJ42" s="87"/>
      <c r="BK42" s="108"/>
      <c r="BL42" s="112"/>
      <c r="BM42" s="108"/>
      <c r="BN42" s="70"/>
      <c r="BO42" s="108"/>
      <c r="BP42" s="113"/>
      <c r="BQ42" s="87"/>
      <c r="BR42" s="108"/>
      <c r="BS42" s="113"/>
      <c r="BT42" s="87"/>
      <c r="BU42" s="108"/>
      <c r="BV42" s="113"/>
      <c r="BW42" s="87"/>
      <c r="BX42" s="108"/>
      <c r="BY42" s="113"/>
      <c r="BZ42" s="87"/>
      <c r="CA42" s="108"/>
      <c r="CB42" s="112"/>
      <c r="CC42" s="108"/>
      <c r="CD42" s="70"/>
    </row>
    <row r="43" spans="1:82" x14ac:dyDescent="0.15">
      <c r="A43" s="68"/>
      <c r="B43" s="9"/>
      <c r="C43" s="110"/>
      <c r="D43" s="62">
        <v>0</v>
      </c>
      <c r="E43" s="87"/>
      <c r="F43" s="110"/>
      <c r="G43" s="62">
        <v>0</v>
      </c>
      <c r="H43" s="87"/>
      <c r="I43" s="110"/>
      <c r="J43" s="62">
        <v>0</v>
      </c>
      <c r="K43" s="87"/>
      <c r="L43" s="110"/>
      <c r="M43" s="62">
        <v>0</v>
      </c>
      <c r="N43" s="87"/>
      <c r="O43" s="110"/>
      <c r="P43" s="116">
        <f>SUM(D43:M43)</f>
        <v>0</v>
      </c>
      <c r="Q43" s="108"/>
      <c r="R43" s="9"/>
      <c r="S43" s="110"/>
      <c r="T43" s="62">
        <v>0</v>
      </c>
      <c r="U43" s="87"/>
      <c r="V43" s="110"/>
      <c r="W43" s="62">
        <v>0</v>
      </c>
      <c r="X43" s="87"/>
      <c r="Y43" s="110"/>
      <c r="Z43" s="62">
        <v>0</v>
      </c>
      <c r="AA43" s="87"/>
      <c r="AB43" s="110"/>
      <c r="AC43" s="62">
        <v>0</v>
      </c>
      <c r="AD43" s="87"/>
      <c r="AE43" s="110"/>
      <c r="AF43" s="116">
        <f>SUM(T43:AC43)</f>
        <v>0</v>
      </c>
      <c r="AG43" s="108"/>
      <c r="AH43" s="9"/>
      <c r="AI43" s="110"/>
      <c r="AJ43" s="62">
        <v>0</v>
      </c>
      <c r="AK43" s="87"/>
      <c r="AL43" s="110"/>
      <c r="AM43" s="62">
        <v>0</v>
      </c>
      <c r="AN43" s="87"/>
      <c r="AO43" s="110"/>
      <c r="AP43" s="62">
        <v>0</v>
      </c>
      <c r="AQ43" s="87"/>
      <c r="AR43" s="110"/>
      <c r="AS43" s="62">
        <v>0</v>
      </c>
      <c r="AT43" s="87"/>
      <c r="AU43" s="110"/>
      <c r="AV43" s="116">
        <f>SUM(AJ43:AS43)</f>
        <v>0</v>
      </c>
      <c r="AW43" s="108"/>
      <c r="AX43" s="9"/>
      <c r="AY43" s="110"/>
      <c r="AZ43" s="62">
        <v>0</v>
      </c>
      <c r="BA43" s="87"/>
      <c r="BB43" s="110"/>
      <c r="BC43" s="62">
        <v>0</v>
      </c>
      <c r="BD43" s="87"/>
      <c r="BE43" s="110"/>
      <c r="BF43" s="62">
        <v>0</v>
      </c>
      <c r="BG43" s="87"/>
      <c r="BH43" s="110"/>
      <c r="BI43" s="62">
        <v>0</v>
      </c>
      <c r="BJ43" s="87"/>
      <c r="BK43" s="110"/>
      <c r="BL43" s="116">
        <f>SUM(AZ43:BI43)</f>
        <v>0</v>
      </c>
      <c r="BM43" s="108"/>
      <c r="BN43" s="70"/>
      <c r="BO43" s="110"/>
      <c r="BP43" s="62">
        <f>+D43+T43+AJ43+AZ43</f>
        <v>0</v>
      </c>
      <c r="BQ43" s="87"/>
      <c r="BR43" s="110"/>
      <c r="BS43" s="62">
        <f>+G43+W43+AM43+BC43</f>
        <v>0</v>
      </c>
      <c r="BT43" s="87"/>
      <c r="BU43" s="110"/>
      <c r="BV43" s="62">
        <f>+J43+Z43+AP43+BF43</f>
        <v>0</v>
      </c>
      <c r="BW43" s="87"/>
      <c r="BX43" s="110"/>
      <c r="BY43" s="62">
        <f>+M43+AC43+AS43+BI43</f>
        <v>0</v>
      </c>
      <c r="BZ43" s="87"/>
      <c r="CA43" s="110"/>
      <c r="CB43" s="116">
        <f>SUM(BP43:BY43)</f>
        <v>0</v>
      </c>
      <c r="CC43" s="108"/>
      <c r="CD43" s="70"/>
    </row>
    <row r="44" spans="1:82" x14ac:dyDescent="0.15">
      <c r="A44" s="107"/>
      <c r="B44" s="9"/>
      <c r="C44" s="108"/>
      <c r="D44" s="114"/>
      <c r="E44" s="87"/>
      <c r="F44" s="108"/>
      <c r="G44" s="114"/>
      <c r="H44" s="87"/>
      <c r="I44" s="108"/>
      <c r="J44" s="114"/>
      <c r="K44" s="87"/>
      <c r="L44" s="108"/>
      <c r="M44" s="114"/>
      <c r="N44" s="87"/>
      <c r="O44" s="108"/>
      <c r="P44" s="112"/>
      <c r="Q44" s="108"/>
      <c r="R44" s="9"/>
      <c r="S44" s="108"/>
      <c r="T44" s="114"/>
      <c r="U44" s="87"/>
      <c r="V44" s="108"/>
      <c r="W44" s="114"/>
      <c r="X44" s="87"/>
      <c r="Y44" s="108"/>
      <c r="Z44" s="114"/>
      <c r="AA44" s="87"/>
      <c r="AB44" s="108"/>
      <c r="AC44" s="114"/>
      <c r="AD44" s="87"/>
      <c r="AE44" s="108"/>
      <c r="AF44" s="112"/>
      <c r="AG44" s="108"/>
      <c r="AH44" s="9"/>
      <c r="AI44" s="108"/>
      <c r="AJ44" s="114"/>
      <c r="AK44" s="87"/>
      <c r="AL44" s="108"/>
      <c r="AM44" s="114"/>
      <c r="AN44" s="87"/>
      <c r="AO44" s="108"/>
      <c r="AP44" s="114"/>
      <c r="AQ44" s="87"/>
      <c r="AR44" s="108"/>
      <c r="AS44" s="114"/>
      <c r="AT44" s="87"/>
      <c r="AU44" s="108"/>
      <c r="AV44" s="112"/>
      <c r="AW44" s="108"/>
      <c r="AX44" s="9"/>
      <c r="AY44" s="108"/>
      <c r="AZ44" s="114"/>
      <c r="BA44" s="87"/>
      <c r="BB44" s="108"/>
      <c r="BC44" s="114"/>
      <c r="BD44" s="87"/>
      <c r="BE44" s="108"/>
      <c r="BF44" s="114"/>
      <c r="BG44" s="87"/>
      <c r="BH44" s="108"/>
      <c r="BI44" s="114"/>
      <c r="BJ44" s="87"/>
      <c r="BK44" s="108"/>
      <c r="BL44" s="112"/>
      <c r="BM44" s="108"/>
      <c r="BN44" s="70"/>
      <c r="BO44" s="108"/>
      <c r="BP44" s="114"/>
      <c r="BQ44" s="87"/>
      <c r="BR44" s="108"/>
      <c r="BS44" s="114"/>
      <c r="BT44" s="87"/>
      <c r="BU44" s="108"/>
      <c r="BV44" s="114"/>
      <c r="BW44" s="87"/>
      <c r="BX44" s="108"/>
      <c r="BY44" s="114"/>
      <c r="BZ44" s="87"/>
      <c r="CA44" s="108"/>
      <c r="CB44" s="112"/>
      <c r="CC44" s="108"/>
      <c r="CD44" s="70"/>
    </row>
    <row r="45" spans="1:82" x14ac:dyDescent="0.15">
      <c r="A45" s="68"/>
      <c r="B45" s="9"/>
      <c r="C45" s="110"/>
      <c r="D45" s="62">
        <v>0</v>
      </c>
      <c r="E45" s="87"/>
      <c r="F45" s="110"/>
      <c r="G45" s="62">
        <v>0</v>
      </c>
      <c r="H45" s="87"/>
      <c r="I45" s="110"/>
      <c r="J45" s="62">
        <v>0</v>
      </c>
      <c r="K45" s="87"/>
      <c r="L45" s="110"/>
      <c r="M45" s="62">
        <v>0</v>
      </c>
      <c r="N45" s="87"/>
      <c r="O45" s="110"/>
      <c r="P45" s="116">
        <f>SUM(D45:M45)</f>
        <v>0</v>
      </c>
      <c r="Q45" s="108"/>
      <c r="R45" s="9"/>
      <c r="S45" s="110"/>
      <c r="T45" s="62">
        <v>0</v>
      </c>
      <c r="U45" s="87"/>
      <c r="V45" s="110"/>
      <c r="W45" s="62">
        <v>0</v>
      </c>
      <c r="X45" s="87"/>
      <c r="Y45" s="110"/>
      <c r="Z45" s="62">
        <v>0</v>
      </c>
      <c r="AA45" s="87"/>
      <c r="AB45" s="110"/>
      <c r="AC45" s="62">
        <v>0</v>
      </c>
      <c r="AD45" s="87"/>
      <c r="AE45" s="110"/>
      <c r="AF45" s="116">
        <f>SUM(T45:AC45)</f>
        <v>0</v>
      </c>
      <c r="AG45" s="108"/>
      <c r="AH45" s="9"/>
      <c r="AI45" s="110"/>
      <c r="AJ45" s="62">
        <v>0</v>
      </c>
      <c r="AK45" s="87"/>
      <c r="AL45" s="110"/>
      <c r="AM45" s="62">
        <v>0</v>
      </c>
      <c r="AN45" s="87"/>
      <c r="AO45" s="110"/>
      <c r="AP45" s="62">
        <v>0</v>
      </c>
      <c r="AQ45" s="87"/>
      <c r="AR45" s="110"/>
      <c r="AS45" s="62">
        <v>0</v>
      </c>
      <c r="AT45" s="87"/>
      <c r="AU45" s="110"/>
      <c r="AV45" s="116">
        <f>SUM(AJ45:AS45)</f>
        <v>0</v>
      </c>
      <c r="AW45" s="108"/>
      <c r="AX45" s="9"/>
      <c r="AY45" s="110"/>
      <c r="AZ45" s="62">
        <v>0</v>
      </c>
      <c r="BA45" s="87"/>
      <c r="BB45" s="110"/>
      <c r="BC45" s="62">
        <v>0</v>
      </c>
      <c r="BD45" s="87"/>
      <c r="BE45" s="110"/>
      <c r="BF45" s="62">
        <v>0</v>
      </c>
      <c r="BG45" s="87"/>
      <c r="BH45" s="110"/>
      <c r="BI45" s="62">
        <v>0</v>
      </c>
      <c r="BJ45" s="87"/>
      <c r="BK45" s="110"/>
      <c r="BL45" s="116">
        <f>SUM(AZ45:BI45)</f>
        <v>0</v>
      </c>
      <c r="BM45" s="108"/>
      <c r="BN45" s="70"/>
      <c r="BO45" s="110"/>
      <c r="BP45" s="62">
        <f>+D45+T45+AJ45+AZ45</f>
        <v>0</v>
      </c>
      <c r="BQ45" s="87"/>
      <c r="BR45" s="110"/>
      <c r="BS45" s="62">
        <f>+G45+W45+AM45+BC45</f>
        <v>0</v>
      </c>
      <c r="BT45" s="87"/>
      <c r="BU45" s="110"/>
      <c r="BV45" s="62">
        <f>+J45+Z45+AP45+BF45</f>
        <v>0</v>
      </c>
      <c r="BW45" s="87"/>
      <c r="BX45" s="110"/>
      <c r="BY45" s="62">
        <f>+M45+AC45+AS45+BI45</f>
        <v>0</v>
      </c>
      <c r="BZ45" s="87"/>
      <c r="CA45" s="110"/>
      <c r="CB45" s="116">
        <f>SUM(BP45:BY45)</f>
        <v>0</v>
      </c>
      <c r="CC45" s="108"/>
      <c r="CD45" s="70"/>
    </row>
    <row r="46" spans="1:82" x14ac:dyDescent="0.15">
      <c r="A46" s="106"/>
      <c r="B46" s="9"/>
      <c r="C46" s="108"/>
      <c r="D46" s="113"/>
      <c r="E46" s="87"/>
      <c r="F46" s="108"/>
      <c r="G46" s="113"/>
      <c r="H46" s="87"/>
      <c r="I46" s="108"/>
      <c r="J46" s="113"/>
      <c r="K46" s="87"/>
      <c r="L46" s="108"/>
      <c r="M46" s="113"/>
      <c r="N46" s="87"/>
      <c r="O46" s="108"/>
      <c r="P46" s="117"/>
      <c r="Q46" s="108"/>
      <c r="R46" s="9"/>
      <c r="S46" s="108"/>
      <c r="T46" s="113"/>
      <c r="U46" s="87"/>
      <c r="V46" s="108"/>
      <c r="W46" s="113"/>
      <c r="X46" s="87"/>
      <c r="Y46" s="108"/>
      <c r="Z46" s="113"/>
      <c r="AA46" s="87"/>
      <c r="AB46" s="108"/>
      <c r="AC46" s="113"/>
      <c r="AD46" s="87"/>
      <c r="AE46" s="108"/>
      <c r="AF46" s="117"/>
      <c r="AG46" s="108"/>
      <c r="AH46" s="9"/>
      <c r="AI46" s="108"/>
      <c r="AJ46" s="113"/>
      <c r="AK46" s="87"/>
      <c r="AL46" s="108"/>
      <c r="AM46" s="113"/>
      <c r="AN46" s="87"/>
      <c r="AO46" s="108"/>
      <c r="AP46" s="113"/>
      <c r="AQ46" s="87"/>
      <c r="AR46" s="108"/>
      <c r="AS46" s="113"/>
      <c r="AT46" s="87"/>
      <c r="AU46" s="108"/>
      <c r="AV46" s="117"/>
      <c r="AW46" s="108"/>
      <c r="AX46" s="9"/>
      <c r="AY46" s="108"/>
      <c r="AZ46" s="113"/>
      <c r="BA46" s="87"/>
      <c r="BB46" s="108"/>
      <c r="BC46" s="113"/>
      <c r="BD46" s="87"/>
      <c r="BE46" s="108"/>
      <c r="BF46" s="113"/>
      <c r="BG46" s="87"/>
      <c r="BH46" s="108"/>
      <c r="BI46" s="113"/>
      <c r="BJ46" s="87"/>
      <c r="BK46" s="108"/>
      <c r="BL46" s="117"/>
      <c r="BM46" s="108"/>
      <c r="BN46" s="70"/>
      <c r="BO46" s="108"/>
      <c r="BP46" s="113"/>
      <c r="BQ46" s="87"/>
      <c r="BR46" s="108"/>
      <c r="BS46" s="113"/>
      <c r="BT46" s="87"/>
      <c r="BU46" s="108"/>
      <c r="BV46" s="113"/>
      <c r="BW46" s="87"/>
      <c r="BX46" s="108"/>
      <c r="BY46" s="113"/>
      <c r="BZ46" s="87"/>
      <c r="CA46" s="108"/>
      <c r="CB46" s="117"/>
      <c r="CC46" s="108"/>
      <c r="CD46" s="70"/>
    </row>
    <row r="47" spans="1:82" x14ac:dyDescent="0.15">
      <c r="A47" s="68"/>
      <c r="B47" s="9"/>
      <c r="C47" s="110"/>
      <c r="D47" s="62">
        <v>0</v>
      </c>
      <c r="E47" s="87"/>
      <c r="F47" s="110"/>
      <c r="G47" s="62">
        <v>0</v>
      </c>
      <c r="H47" s="87"/>
      <c r="I47" s="110"/>
      <c r="J47" s="62">
        <v>0</v>
      </c>
      <c r="K47" s="87"/>
      <c r="L47" s="110"/>
      <c r="M47" s="62">
        <v>0</v>
      </c>
      <c r="N47" s="87"/>
      <c r="O47" s="110"/>
      <c r="P47" s="116">
        <f>SUM(D47:M47)</f>
        <v>0</v>
      </c>
      <c r="Q47" s="108"/>
      <c r="R47" s="9"/>
      <c r="S47" s="110"/>
      <c r="T47" s="62">
        <v>0</v>
      </c>
      <c r="U47" s="87"/>
      <c r="V47" s="110"/>
      <c r="W47" s="62">
        <v>0</v>
      </c>
      <c r="X47" s="87"/>
      <c r="Y47" s="110"/>
      <c r="Z47" s="62">
        <v>0</v>
      </c>
      <c r="AA47" s="87"/>
      <c r="AB47" s="110"/>
      <c r="AC47" s="62">
        <v>0</v>
      </c>
      <c r="AD47" s="87"/>
      <c r="AE47" s="110"/>
      <c r="AF47" s="116">
        <f>SUM(T47:AC47)</f>
        <v>0</v>
      </c>
      <c r="AG47" s="108"/>
      <c r="AH47" s="9"/>
      <c r="AI47" s="110"/>
      <c r="AJ47" s="62">
        <v>0</v>
      </c>
      <c r="AK47" s="87"/>
      <c r="AL47" s="110"/>
      <c r="AM47" s="62">
        <v>0</v>
      </c>
      <c r="AN47" s="87"/>
      <c r="AO47" s="110"/>
      <c r="AP47" s="62">
        <v>0</v>
      </c>
      <c r="AQ47" s="87"/>
      <c r="AR47" s="110"/>
      <c r="AS47" s="62">
        <v>0</v>
      </c>
      <c r="AT47" s="87"/>
      <c r="AU47" s="110"/>
      <c r="AV47" s="116">
        <f>SUM(AJ47:AS47)</f>
        <v>0</v>
      </c>
      <c r="AW47" s="108"/>
      <c r="AX47" s="9"/>
      <c r="AY47" s="110"/>
      <c r="AZ47" s="62">
        <v>0</v>
      </c>
      <c r="BA47" s="87"/>
      <c r="BB47" s="110"/>
      <c r="BC47" s="62">
        <v>0</v>
      </c>
      <c r="BD47" s="87"/>
      <c r="BE47" s="110"/>
      <c r="BF47" s="62">
        <v>0</v>
      </c>
      <c r="BG47" s="87"/>
      <c r="BH47" s="110"/>
      <c r="BI47" s="62">
        <v>0</v>
      </c>
      <c r="BJ47" s="87"/>
      <c r="BK47" s="110"/>
      <c r="BL47" s="116">
        <f>SUM(AZ47:BI47)</f>
        <v>0</v>
      </c>
      <c r="BM47" s="108"/>
      <c r="BN47" s="70"/>
      <c r="BO47" s="110"/>
      <c r="BP47" s="62">
        <f>+D47+T47+AJ47+AZ47</f>
        <v>0</v>
      </c>
      <c r="BQ47" s="87"/>
      <c r="BR47" s="110"/>
      <c r="BS47" s="62">
        <f>+G47+W47+AM47+BC47</f>
        <v>0</v>
      </c>
      <c r="BT47" s="87"/>
      <c r="BU47" s="110"/>
      <c r="BV47" s="62">
        <f>+J47+Z47+AP47+BF47</f>
        <v>0</v>
      </c>
      <c r="BW47" s="87"/>
      <c r="BX47" s="110"/>
      <c r="BY47" s="62">
        <f>+M47+AC47+AS47+BI47</f>
        <v>0</v>
      </c>
      <c r="BZ47" s="87"/>
      <c r="CA47" s="110"/>
      <c r="CB47" s="116">
        <f>SUM(BP47:BY47)</f>
        <v>0</v>
      </c>
      <c r="CC47" s="108"/>
      <c r="CD47" s="70"/>
    </row>
    <row r="48" spans="1:82" x14ac:dyDescent="0.15">
      <c r="A48" s="107"/>
      <c r="B48" s="9"/>
      <c r="C48" s="108"/>
      <c r="D48" s="114"/>
      <c r="E48" s="87"/>
      <c r="F48" s="108"/>
      <c r="G48" s="114"/>
      <c r="H48" s="87"/>
      <c r="I48" s="108"/>
      <c r="J48" s="114"/>
      <c r="K48" s="87"/>
      <c r="L48" s="108"/>
      <c r="M48" s="114"/>
      <c r="N48" s="87"/>
      <c r="O48" s="108"/>
      <c r="P48" s="112"/>
      <c r="Q48" s="108"/>
      <c r="R48" s="9"/>
      <c r="S48" s="108"/>
      <c r="T48" s="114"/>
      <c r="U48" s="87"/>
      <c r="V48" s="108"/>
      <c r="W48" s="114"/>
      <c r="X48" s="87"/>
      <c r="Y48" s="108"/>
      <c r="Z48" s="114"/>
      <c r="AA48" s="87"/>
      <c r="AB48" s="108"/>
      <c r="AC48" s="114"/>
      <c r="AD48" s="87"/>
      <c r="AE48" s="108"/>
      <c r="AF48" s="112"/>
      <c r="AG48" s="108"/>
      <c r="AH48" s="9"/>
      <c r="AI48" s="108"/>
      <c r="AJ48" s="114"/>
      <c r="AK48" s="87"/>
      <c r="AL48" s="108"/>
      <c r="AM48" s="114"/>
      <c r="AN48" s="87"/>
      <c r="AO48" s="108"/>
      <c r="AP48" s="114"/>
      <c r="AQ48" s="87"/>
      <c r="AR48" s="108"/>
      <c r="AS48" s="114"/>
      <c r="AT48" s="87"/>
      <c r="AU48" s="108"/>
      <c r="AV48" s="112"/>
      <c r="AW48" s="108"/>
      <c r="AX48" s="9"/>
      <c r="AY48" s="108"/>
      <c r="AZ48" s="114"/>
      <c r="BA48" s="87"/>
      <c r="BB48" s="108"/>
      <c r="BC48" s="114"/>
      <c r="BD48" s="87"/>
      <c r="BE48" s="108"/>
      <c r="BF48" s="114"/>
      <c r="BG48" s="87"/>
      <c r="BH48" s="108"/>
      <c r="BI48" s="114"/>
      <c r="BJ48" s="87"/>
      <c r="BK48" s="108"/>
      <c r="BL48" s="112"/>
      <c r="BM48" s="108"/>
      <c r="BN48" s="70"/>
      <c r="BO48" s="108"/>
      <c r="BP48" s="114"/>
      <c r="BQ48" s="87"/>
      <c r="BR48" s="108"/>
      <c r="BS48" s="114"/>
      <c r="BT48" s="87"/>
      <c r="BU48" s="108"/>
      <c r="BV48" s="114"/>
      <c r="BW48" s="87"/>
      <c r="BX48" s="108"/>
      <c r="BY48" s="114"/>
      <c r="BZ48" s="87"/>
      <c r="CA48" s="108"/>
      <c r="CB48" s="112"/>
      <c r="CC48" s="108"/>
      <c r="CD48" s="70"/>
    </row>
    <row r="49" spans="1:82" x14ac:dyDescent="0.15">
      <c r="A49" s="68"/>
      <c r="B49" s="9"/>
      <c r="C49" s="110"/>
      <c r="D49" s="62">
        <v>0</v>
      </c>
      <c r="E49" s="87"/>
      <c r="F49" s="110"/>
      <c r="G49" s="62">
        <v>0</v>
      </c>
      <c r="H49" s="87"/>
      <c r="I49" s="110"/>
      <c r="J49" s="62">
        <v>0</v>
      </c>
      <c r="K49" s="87"/>
      <c r="L49" s="110"/>
      <c r="M49" s="62">
        <v>0</v>
      </c>
      <c r="N49" s="87"/>
      <c r="O49" s="110"/>
      <c r="P49" s="116">
        <f>SUM(D49:M49)</f>
        <v>0</v>
      </c>
      <c r="Q49" s="108"/>
      <c r="R49" s="9"/>
      <c r="S49" s="110"/>
      <c r="T49" s="62">
        <v>0</v>
      </c>
      <c r="U49" s="87"/>
      <c r="V49" s="110"/>
      <c r="W49" s="62">
        <v>0</v>
      </c>
      <c r="X49" s="87"/>
      <c r="Y49" s="110"/>
      <c r="Z49" s="62">
        <v>0</v>
      </c>
      <c r="AA49" s="87"/>
      <c r="AB49" s="110"/>
      <c r="AC49" s="62">
        <v>0</v>
      </c>
      <c r="AD49" s="87"/>
      <c r="AE49" s="110"/>
      <c r="AF49" s="116">
        <f>SUM(T49:AC49)</f>
        <v>0</v>
      </c>
      <c r="AG49" s="108"/>
      <c r="AH49" s="9"/>
      <c r="AI49" s="110"/>
      <c r="AJ49" s="62">
        <v>0</v>
      </c>
      <c r="AK49" s="87"/>
      <c r="AL49" s="110"/>
      <c r="AM49" s="62">
        <v>0</v>
      </c>
      <c r="AN49" s="87"/>
      <c r="AO49" s="110"/>
      <c r="AP49" s="62">
        <v>0</v>
      </c>
      <c r="AQ49" s="87"/>
      <c r="AR49" s="110"/>
      <c r="AS49" s="62">
        <v>0</v>
      </c>
      <c r="AT49" s="87"/>
      <c r="AU49" s="110"/>
      <c r="AV49" s="116">
        <f>SUM(AJ49:AS49)</f>
        <v>0</v>
      </c>
      <c r="AW49" s="108"/>
      <c r="AX49" s="9"/>
      <c r="AY49" s="110"/>
      <c r="AZ49" s="62">
        <v>0</v>
      </c>
      <c r="BA49" s="87"/>
      <c r="BB49" s="110"/>
      <c r="BC49" s="62">
        <v>0</v>
      </c>
      <c r="BD49" s="87"/>
      <c r="BE49" s="110"/>
      <c r="BF49" s="62">
        <v>0</v>
      </c>
      <c r="BG49" s="87"/>
      <c r="BH49" s="110"/>
      <c r="BI49" s="62">
        <v>0</v>
      </c>
      <c r="BJ49" s="87"/>
      <c r="BK49" s="110"/>
      <c r="BL49" s="116">
        <f>SUM(AZ49:BI49)</f>
        <v>0</v>
      </c>
      <c r="BM49" s="108"/>
      <c r="BN49" s="70"/>
      <c r="BO49" s="110"/>
      <c r="BP49" s="62">
        <f>+D49+T49+AJ49+AZ49</f>
        <v>0</v>
      </c>
      <c r="BQ49" s="87"/>
      <c r="BR49" s="110"/>
      <c r="BS49" s="62">
        <f>+G49+W49+AM49+BC49</f>
        <v>0</v>
      </c>
      <c r="BT49" s="87"/>
      <c r="BU49" s="110"/>
      <c r="BV49" s="62">
        <f>+J49+Z49+AP49+BF49</f>
        <v>0</v>
      </c>
      <c r="BW49" s="87"/>
      <c r="BX49" s="110"/>
      <c r="BY49" s="62">
        <f>+M49+AC49+AS49+BI49</f>
        <v>0</v>
      </c>
      <c r="BZ49" s="87"/>
      <c r="CA49" s="110"/>
      <c r="CB49" s="116">
        <f>SUM(BP49:BY49)</f>
        <v>0</v>
      </c>
      <c r="CC49" s="108"/>
      <c r="CD49" s="70"/>
    </row>
    <row r="50" spans="1:82" x14ac:dyDescent="0.15">
      <c r="A50" s="107"/>
      <c r="B50" s="9"/>
      <c r="C50" s="108"/>
      <c r="D50" s="113"/>
      <c r="E50" s="87"/>
      <c r="F50" s="108"/>
      <c r="G50" s="113"/>
      <c r="H50" s="87"/>
      <c r="I50" s="108"/>
      <c r="J50" s="113"/>
      <c r="K50" s="87"/>
      <c r="L50" s="108"/>
      <c r="M50" s="113"/>
      <c r="N50" s="87"/>
      <c r="O50" s="108"/>
      <c r="P50" s="112"/>
      <c r="Q50" s="108"/>
      <c r="R50" s="9"/>
      <c r="S50" s="108"/>
      <c r="T50" s="113"/>
      <c r="U50" s="87"/>
      <c r="V50" s="108"/>
      <c r="W50" s="113"/>
      <c r="X50" s="87"/>
      <c r="Y50" s="108"/>
      <c r="Z50" s="113"/>
      <c r="AA50" s="87"/>
      <c r="AB50" s="108"/>
      <c r="AC50" s="113"/>
      <c r="AD50" s="87"/>
      <c r="AE50" s="108"/>
      <c r="AF50" s="112"/>
      <c r="AG50" s="108"/>
      <c r="AH50" s="9"/>
      <c r="AI50" s="108"/>
      <c r="AJ50" s="113"/>
      <c r="AK50" s="87"/>
      <c r="AL50" s="108"/>
      <c r="AM50" s="113"/>
      <c r="AN50" s="87"/>
      <c r="AO50" s="108"/>
      <c r="AP50" s="113"/>
      <c r="AQ50" s="87"/>
      <c r="AR50" s="108"/>
      <c r="AS50" s="113"/>
      <c r="AT50" s="87"/>
      <c r="AU50" s="108"/>
      <c r="AV50" s="112"/>
      <c r="AW50" s="108"/>
      <c r="AX50" s="9"/>
      <c r="AY50" s="108"/>
      <c r="AZ50" s="113"/>
      <c r="BA50" s="87"/>
      <c r="BB50" s="108"/>
      <c r="BC50" s="113"/>
      <c r="BD50" s="87"/>
      <c r="BE50" s="108"/>
      <c r="BF50" s="113"/>
      <c r="BG50" s="87"/>
      <c r="BH50" s="108"/>
      <c r="BI50" s="113"/>
      <c r="BJ50" s="87"/>
      <c r="BK50" s="108"/>
      <c r="BL50" s="112"/>
      <c r="BM50" s="108"/>
      <c r="BN50" s="70"/>
      <c r="BO50" s="108"/>
      <c r="BP50" s="113"/>
      <c r="BQ50" s="87"/>
      <c r="BR50" s="108"/>
      <c r="BS50" s="113"/>
      <c r="BT50" s="87"/>
      <c r="BU50" s="108"/>
      <c r="BV50" s="113"/>
      <c r="BW50" s="87"/>
      <c r="BX50" s="108"/>
      <c r="BY50" s="113"/>
      <c r="BZ50" s="87"/>
      <c r="CA50" s="108"/>
      <c r="CB50" s="112"/>
      <c r="CC50" s="108"/>
      <c r="CD50" s="70"/>
    </row>
    <row r="51" spans="1:82" x14ac:dyDescent="0.15">
      <c r="A51" s="68"/>
      <c r="B51" s="9"/>
      <c r="C51" s="110"/>
      <c r="D51" s="62">
        <v>0</v>
      </c>
      <c r="E51" s="87"/>
      <c r="F51" s="110"/>
      <c r="G51" s="62">
        <v>0</v>
      </c>
      <c r="H51" s="87"/>
      <c r="I51" s="110"/>
      <c r="J51" s="62">
        <v>0</v>
      </c>
      <c r="K51" s="87"/>
      <c r="L51" s="110"/>
      <c r="M51" s="62">
        <v>0</v>
      </c>
      <c r="N51" s="87"/>
      <c r="O51" s="110"/>
      <c r="P51" s="116">
        <f>SUM(D51:M51)</f>
        <v>0</v>
      </c>
      <c r="Q51" s="108"/>
      <c r="R51" s="9"/>
      <c r="S51" s="110"/>
      <c r="T51" s="62">
        <v>0</v>
      </c>
      <c r="U51" s="87"/>
      <c r="V51" s="110"/>
      <c r="W51" s="62">
        <v>0</v>
      </c>
      <c r="X51" s="87"/>
      <c r="Y51" s="110"/>
      <c r="Z51" s="62">
        <v>0</v>
      </c>
      <c r="AA51" s="87"/>
      <c r="AB51" s="110"/>
      <c r="AC51" s="62">
        <v>0</v>
      </c>
      <c r="AD51" s="87"/>
      <c r="AE51" s="110"/>
      <c r="AF51" s="116">
        <f>SUM(T51:AC51)</f>
        <v>0</v>
      </c>
      <c r="AG51" s="108"/>
      <c r="AH51" s="9"/>
      <c r="AI51" s="110"/>
      <c r="AJ51" s="62">
        <v>0</v>
      </c>
      <c r="AK51" s="87"/>
      <c r="AL51" s="110"/>
      <c r="AM51" s="62">
        <v>0</v>
      </c>
      <c r="AN51" s="87"/>
      <c r="AO51" s="110"/>
      <c r="AP51" s="62">
        <v>0</v>
      </c>
      <c r="AQ51" s="87"/>
      <c r="AR51" s="110"/>
      <c r="AS51" s="62">
        <v>0</v>
      </c>
      <c r="AT51" s="87"/>
      <c r="AU51" s="110"/>
      <c r="AV51" s="116">
        <f>SUM(AJ51:AS51)</f>
        <v>0</v>
      </c>
      <c r="AW51" s="108"/>
      <c r="AX51" s="9"/>
      <c r="AY51" s="110"/>
      <c r="AZ51" s="62">
        <v>0</v>
      </c>
      <c r="BA51" s="87"/>
      <c r="BB51" s="110"/>
      <c r="BC51" s="62">
        <v>0</v>
      </c>
      <c r="BD51" s="87"/>
      <c r="BE51" s="110"/>
      <c r="BF51" s="62">
        <v>0</v>
      </c>
      <c r="BG51" s="87"/>
      <c r="BH51" s="110"/>
      <c r="BI51" s="62">
        <v>0</v>
      </c>
      <c r="BJ51" s="87"/>
      <c r="BK51" s="110"/>
      <c r="BL51" s="116">
        <f>SUM(AZ51:BI51)</f>
        <v>0</v>
      </c>
      <c r="BM51" s="108"/>
      <c r="BN51" s="70"/>
      <c r="BO51" s="110"/>
      <c r="BP51" s="62">
        <f>+D51+T51+AJ51+AZ51</f>
        <v>0</v>
      </c>
      <c r="BQ51" s="87"/>
      <c r="BR51" s="110"/>
      <c r="BS51" s="62">
        <f>+G51+W51+AM51+BC51</f>
        <v>0</v>
      </c>
      <c r="BT51" s="87"/>
      <c r="BU51" s="110"/>
      <c r="BV51" s="62">
        <f>+J51+Z51+AP51+BF51</f>
        <v>0</v>
      </c>
      <c r="BW51" s="87"/>
      <c r="BX51" s="110"/>
      <c r="BY51" s="62">
        <f>+M51+AC51+AS51+BI51</f>
        <v>0</v>
      </c>
      <c r="BZ51" s="87"/>
      <c r="CA51" s="110"/>
      <c r="CB51" s="116">
        <f>SUM(BP51:BY51)</f>
        <v>0</v>
      </c>
      <c r="CC51" s="108"/>
      <c r="CD51" s="70"/>
    </row>
    <row r="52" spans="1:82" x14ac:dyDescent="0.15">
      <c r="A52" s="106"/>
      <c r="B52" s="9"/>
      <c r="C52" s="108"/>
      <c r="D52" s="113"/>
      <c r="E52" s="87"/>
      <c r="F52" s="108"/>
      <c r="G52" s="113"/>
      <c r="H52" s="87"/>
      <c r="I52" s="108"/>
      <c r="J52" s="113"/>
      <c r="K52" s="87"/>
      <c r="L52" s="108"/>
      <c r="M52" s="113"/>
      <c r="N52" s="87"/>
      <c r="O52" s="108"/>
      <c r="P52" s="117"/>
      <c r="Q52" s="108"/>
      <c r="R52" s="9"/>
      <c r="S52" s="108"/>
      <c r="T52" s="113"/>
      <c r="U52" s="87"/>
      <c r="V52" s="108"/>
      <c r="W52" s="113"/>
      <c r="X52" s="87"/>
      <c r="Y52" s="108"/>
      <c r="Z52" s="113"/>
      <c r="AA52" s="87"/>
      <c r="AB52" s="108"/>
      <c r="AC52" s="113"/>
      <c r="AD52" s="87"/>
      <c r="AE52" s="108"/>
      <c r="AF52" s="117"/>
      <c r="AG52" s="108"/>
      <c r="AH52" s="9"/>
      <c r="AI52" s="108"/>
      <c r="AJ52" s="113"/>
      <c r="AK52" s="87"/>
      <c r="AL52" s="108"/>
      <c r="AM52" s="113"/>
      <c r="AN52" s="87"/>
      <c r="AO52" s="108"/>
      <c r="AP52" s="113"/>
      <c r="AQ52" s="87"/>
      <c r="AR52" s="108"/>
      <c r="AS52" s="113"/>
      <c r="AT52" s="87"/>
      <c r="AU52" s="108"/>
      <c r="AV52" s="117"/>
      <c r="AW52" s="108"/>
      <c r="AX52" s="9"/>
      <c r="AY52" s="108"/>
      <c r="AZ52" s="113"/>
      <c r="BA52" s="87"/>
      <c r="BB52" s="108"/>
      <c r="BC52" s="113"/>
      <c r="BD52" s="87"/>
      <c r="BE52" s="108"/>
      <c r="BF52" s="113"/>
      <c r="BG52" s="87"/>
      <c r="BH52" s="108"/>
      <c r="BI52" s="113"/>
      <c r="BJ52" s="87"/>
      <c r="BK52" s="108"/>
      <c r="BL52" s="117"/>
      <c r="BM52" s="108"/>
      <c r="BN52" s="70"/>
      <c r="BO52" s="108"/>
      <c r="BP52" s="113"/>
      <c r="BQ52" s="87"/>
      <c r="BR52" s="108"/>
      <c r="BS52" s="113"/>
      <c r="BT52" s="87"/>
      <c r="BU52" s="108"/>
      <c r="BV52" s="113"/>
      <c r="BW52" s="87"/>
      <c r="BX52" s="108"/>
      <c r="BY52" s="113"/>
      <c r="BZ52" s="87"/>
      <c r="CA52" s="108"/>
      <c r="CB52" s="117"/>
      <c r="CC52" s="108"/>
      <c r="CD52" s="70"/>
    </row>
    <row r="53" spans="1:82" x14ac:dyDescent="0.15">
      <c r="A53" s="68"/>
      <c r="B53" s="9"/>
      <c r="C53" s="110"/>
      <c r="D53" s="62">
        <v>0</v>
      </c>
      <c r="E53" s="87"/>
      <c r="F53" s="110"/>
      <c r="G53" s="62">
        <v>0</v>
      </c>
      <c r="H53" s="87"/>
      <c r="I53" s="110"/>
      <c r="J53" s="62">
        <v>0</v>
      </c>
      <c r="K53" s="87"/>
      <c r="L53" s="110"/>
      <c r="M53" s="62">
        <v>0</v>
      </c>
      <c r="N53" s="87"/>
      <c r="O53" s="110"/>
      <c r="P53" s="116">
        <f>SUM(D53:M53)</f>
        <v>0</v>
      </c>
      <c r="Q53" s="108"/>
      <c r="R53" s="9"/>
      <c r="S53" s="110"/>
      <c r="T53" s="62">
        <v>0</v>
      </c>
      <c r="U53" s="87"/>
      <c r="V53" s="110"/>
      <c r="W53" s="62">
        <v>0</v>
      </c>
      <c r="X53" s="87"/>
      <c r="Y53" s="110"/>
      <c r="Z53" s="62">
        <v>0</v>
      </c>
      <c r="AA53" s="87"/>
      <c r="AB53" s="110"/>
      <c r="AC53" s="62">
        <v>0</v>
      </c>
      <c r="AD53" s="87"/>
      <c r="AE53" s="110"/>
      <c r="AF53" s="116">
        <f>SUM(T53:AC53)</f>
        <v>0</v>
      </c>
      <c r="AG53" s="108"/>
      <c r="AH53" s="9"/>
      <c r="AI53" s="110"/>
      <c r="AJ53" s="62">
        <v>0</v>
      </c>
      <c r="AK53" s="87"/>
      <c r="AL53" s="110"/>
      <c r="AM53" s="62">
        <v>0</v>
      </c>
      <c r="AN53" s="87"/>
      <c r="AO53" s="110"/>
      <c r="AP53" s="62">
        <v>0</v>
      </c>
      <c r="AQ53" s="87"/>
      <c r="AR53" s="110"/>
      <c r="AS53" s="62">
        <v>0</v>
      </c>
      <c r="AT53" s="87"/>
      <c r="AU53" s="110"/>
      <c r="AV53" s="116">
        <f>SUM(AJ53:AS53)</f>
        <v>0</v>
      </c>
      <c r="AW53" s="108"/>
      <c r="AX53" s="9"/>
      <c r="AY53" s="110"/>
      <c r="AZ53" s="62">
        <v>0</v>
      </c>
      <c r="BA53" s="87"/>
      <c r="BB53" s="110"/>
      <c r="BC53" s="62">
        <v>0</v>
      </c>
      <c r="BD53" s="87"/>
      <c r="BE53" s="110"/>
      <c r="BF53" s="62">
        <v>0</v>
      </c>
      <c r="BG53" s="87"/>
      <c r="BH53" s="110"/>
      <c r="BI53" s="62">
        <v>0</v>
      </c>
      <c r="BJ53" s="87"/>
      <c r="BK53" s="110"/>
      <c r="BL53" s="116">
        <f>SUM(AZ53:BI53)</f>
        <v>0</v>
      </c>
      <c r="BM53" s="108"/>
      <c r="BN53" s="70"/>
      <c r="BO53" s="110"/>
      <c r="BP53" s="62">
        <f>+D53+T53+AJ53+AZ53</f>
        <v>0</v>
      </c>
      <c r="BQ53" s="87"/>
      <c r="BR53" s="110"/>
      <c r="BS53" s="62">
        <f>+G53+W53+AM53+BC53</f>
        <v>0</v>
      </c>
      <c r="BT53" s="87"/>
      <c r="BU53" s="110"/>
      <c r="BV53" s="62">
        <f>+J53+Z53+AP53+BF53</f>
        <v>0</v>
      </c>
      <c r="BW53" s="87"/>
      <c r="BX53" s="110"/>
      <c r="BY53" s="62">
        <f>+M53+AC53+AS53+BI53</f>
        <v>0</v>
      </c>
      <c r="BZ53" s="87"/>
      <c r="CA53" s="110"/>
      <c r="CB53" s="116">
        <f>SUM(BP53:BY53)</f>
        <v>0</v>
      </c>
      <c r="CC53" s="108"/>
      <c r="CD53" s="70"/>
    </row>
    <row r="54" spans="1:82" x14ac:dyDescent="0.15">
      <c r="A54" s="107"/>
      <c r="B54" s="9"/>
      <c r="C54" s="108"/>
      <c r="D54" s="114"/>
      <c r="E54" s="87"/>
      <c r="F54" s="108"/>
      <c r="G54" s="114"/>
      <c r="H54" s="87"/>
      <c r="I54" s="108"/>
      <c r="J54" s="114"/>
      <c r="K54" s="87"/>
      <c r="L54" s="108"/>
      <c r="M54" s="114"/>
      <c r="N54" s="87"/>
      <c r="O54" s="108"/>
      <c r="P54" s="112"/>
      <c r="Q54" s="108"/>
      <c r="R54" s="9"/>
      <c r="S54" s="108"/>
      <c r="T54" s="114"/>
      <c r="U54" s="87"/>
      <c r="V54" s="108"/>
      <c r="W54" s="114"/>
      <c r="X54" s="87"/>
      <c r="Y54" s="108"/>
      <c r="Z54" s="114"/>
      <c r="AA54" s="87"/>
      <c r="AB54" s="108"/>
      <c r="AC54" s="114"/>
      <c r="AD54" s="87"/>
      <c r="AE54" s="108"/>
      <c r="AF54" s="112"/>
      <c r="AG54" s="108"/>
      <c r="AH54" s="9"/>
      <c r="AI54" s="108"/>
      <c r="AJ54" s="114"/>
      <c r="AK54" s="87"/>
      <c r="AL54" s="108"/>
      <c r="AM54" s="114"/>
      <c r="AN54" s="87"/>
      <c r="AO54" s="108"/>
      <c r="AP54" s="114"/>
      <c r="AQ54" s="87"/>
      <c r="AR54" s="108"/>
      <c r="AS54" s="114"/>
      <c r="AT54" s="87"/>
      <c r="AU54" s="108"/>
      <c r="AV54" s="112"/>
      <c r="AW54" s="108"/>
      <c r="AX54" s="9"/>
      <c r="AY54" s="108"/>
      <c r="AZ54" s="114"/>
      <c r="BA54" s="87"/>
      <c r="BB54" s="108"/>
      <c r="BC54" s="114"/>
      <c r="BD54" s="87"/>
      <c r="BE54" s="108"/>
      <c r="BF54" s="114"/>
      <c r="BG54" s="87"/>
      <c r="BH54" s="108"/>
      <c r="BI54" s="114"/>
      <c r="BJ54" s="87"/>
      <c r="BK54" s="108"/>
      <c r="BL54" s="112"/>
      <c r="BM54" s="108"/>
      <c r="BN54" s="70"/>
      <c r="BO54" s="108"/>
      <c r="BP54" s="114"/>
      <c r="BQ54" s="87"/>
      <c r="BR54" s="108"/>
      <c r="BS54" s="114"/>
      <c r="BT54" s="87"/>
      <c r="BU54" s="108"/>
      <c r="BV54" s="114"/>
      <c r="BW54" s="87"/>
      <c r="BX54" s="108"/>
      <c r="BY54" s="114"/>
      <c r="BZ54" s="87"/>
      <c r="CA54" s="108"/>
      <c r="CB54" s="112"/>
      <c r="CC54" s="108"/>
      <c r="CD54" s="70"/>
    </row>
    <row r="55" spans="1:82" x14ac:dyDescent="0.15">
      <c r="A55" s="68"/>
      <c r="B55" s="9"/>
      <c r="C55" s="110"/>
      <c r="D55" s="62">
        <v>0</v>
      </c>
      <c r="E55" s="87"/>
      <c r="F55" s="110"/>
      <c r="G55" s="62">
        <v>0</v>
      </c>
      <c r="H55" s="87"/>
      <c r="I55" s="110"/>
      <c r="J55" s="62">
        <v>0</v>
      </c>
      <c r="K55" s="87"/>
      <c r="L55" s="110"/>
      <c r="M55" s="62">
        <v>0</v>
      </c>
      <c r="N55" s="87"/>
      <c r="O55" s="110"/>
      <c r="P55" s="116">
        <f>SUM(D55:M55)</f>
        <v>0</v>
      </c>
      <c r="Q55" s="108"/>
      <c r="R55" s="9"/>
      <c r="S55" s="110"/>
      <c r="T55" s="62">
        <v>0</v>
      </c>
      <c r="U55" s="87"/>
      <c r="V55" s="110"/>
      <c r="W55" s="62">
        <v>0</v>
      </c>
      <c r="X55" s="87"/>
      <c r="Y55" s="110"/>
      <c r="Z55" s="62">
        <v>0</v>
      </c>
      <c r="AA55" s="87"/>
      <c r="AB55" s="110"/>
      <c r="AC55" s="62">
        <v>0</v>
      </c>
      <c r="AD55" s="87"/>
      <c r="AE55" s="110"/>
      <c r="AF55" s="116">
        <f>SUM(T55:AC55)</f>
        <v>0</v>
      </c>
      <c r="AG55" s="108"/>
      <c r="AH55" s="9"/>
      <c r="AI55" s="110"/>
      <c r="AJ55" s="62">
        <v>0</v>
      </c>
      <c r="AK55" s="87"/>
      <c r="AL55" s="110"/>
      <c r="AM55" s="62">
        <v>0</v>
      </c>
      <c r="AN55" s="87"/>
      <c r="AO55" s="110"/>
      <c r="AP55" s="62">
        <v>0</v>
      </c>
      <c r="AQ55" s="87"/>
      <c r="AR55" s="110"/>
      <c r="AS55" s="62">
        <v>0</v>
      </c>
      <c r="AT55" s="87"/>
      <c r="AU55" s="110"/>
      <c r="AV55" s="116">
        <f>SUM(AJ55:AS55)</f>
        <v>0</v>
      </c>
      <c r="AW55" s="108"/>
      <c r="AX55" s="9"/>
      <c r="AY55" s="110"/>
      <c r="AZ55" s="62">
        <v>0</v>
      </c>
      <c r="BA55" s="87"/>
      <c r="BB55" s="110"/>
      <c r="BC55" s="62">
        <v>0</v>
      </c>
      <c r="BD55" s="87"/>
      <c r="BE55" s="110"/>
      <c r="BF55" s="62">
        <v>0</v>
      </c>
      <c r="BG55" s="87"/>
      <c r="BH55" s="110"/>
      <c r="BI55" s="62">
        <v>0</v>
      </c>
      <c r="BJ55" s="87"/>
      <c r="BK55" s="110"/>
      <c r="BL55" s="116">
        <f>SUM(AZ55:BI55)</f>
        <v>0</v>
      </c>
      <c r="BM55" s="108"/>
      <c r="BN55" s="70"/>
      <c r="BO55" s="110"/>
      <c r="BP55" s="62">
        <f>+D55+T55+AJ55+AZ55</f>
        <v>0</v>
      </c>
      <c r="BQ55" s="87"/>
      <c r="BR55" s="110"/>
      <c r="BS55" s="62">
        <f>+G55+W55+AM55+BC55</f>
        <v>0</v>
      </c>
      <c r="BT55" s="87"/>
      <c r="BU55" s="110"/>
      <c r="BV55" s="62">
        <f>+J55+Z55+AP55+BF55</f>
        <v>0</v>
      </c>
      <c r="BW55" s="87"/>
      <c r="BX55" s="110"/>
      <c r="BY55" s="62">
        <f>+M55+AC55+AS55+BI55</f>
        <v>0</v>
      </c>
      <c r="BZ55" s="87"/>
      <c r="CA55" s="110"/>
      <c r="CB55" s="116">
        <f>SUM(BP55:BY55)</f>
        <v>0</v>
      </c>
      <c r="CC55" s="108"/>
      <c r="CD55" s="70"/>
    </row>
    <row r="56" spans="1:82" x14ac:dyDescent="0.15">
      <c r="A56" s="87"/>
      <c r="B56" s="9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18"/>
      <c r="Q56" s="108"/>
      <c r="R56" s="9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18"/>
      <c r="AG56" s="108"/>
      <c r="AH56" s="9"/>
      <c r="AI56" s="108"/>
      <c r="AJ56" s="108"/>
      <c r="AK56" s="108"/>
      <c r="AL56" s="108"/>
      <c r="AM56" s="108"/>
      <c r="AN56" s="108"/>
      <c r="AO56" s="108"/>
      <c r="AP56" s="108"/>
      <c r="AQ56" s="108"/>
      <c r="AR56" s="108"/>
      <c r="AS56" s="108"/>
      <c r="AT56" s="108"/>
      <c r="AU56" s="108"/>
      <c r="AV56" s="118"/>
      <c r="AW56" s="108"/>
      <c r="AX56" s="9"/>
      <c r="AY56" s="108"/>
      <c r="AZ56" s="108"/>
      <c r="BA56" s="108"/>
      <c r="BB56" s="108"/>
      <c r="BC56" s="108"/>
      <c r="BD56" s="108"/>
      <c r="BE56" s="108"/>
      <c r="BF56" s="108"/>
      <c r="BG56" s="108"/>
      <c r="BH56" s="108"/>
      <c r="BI56" s="108"/>
      <c r="BJ56" s="108"/>
      <c r="BK56" s="108"/>
      <c r="BL56" s="118"/>
      <c r="BM56" s="108"/>
      <c r="BN56" s="70"/>
      <c r="BO56" s="108"/>
      <c r="BP56" s="108"/>
      <c r="BQ56" s="108"/>
      <c r="BR56" s="108"/>
      <c r="BS56" s="108"/>
      <c r="BT56" s="108"/>
      <c r="BU56" s="108"/>
      <c r="BV56" s="108"/>
      <c r="BW56" s="108"/>
      <c r="BX56" s="108"/>
      <c r="BY56" s="108"/>
      <c r="BZ56" s="108"/>
      <c r="CA56" s="108"/>
      <c r="CB56" s="118"/>
      <c r="CC56" s="108"/>
      <c r="CD56" s="70"/>
    </row>
    <row r="57" spans="1:82" x14ac:dyDescent="0.15">
      <c r="A57" s="87"/>
      <c r="B57" s="9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9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9"/>
      <c r="AI57" s="108"/>
      <c r="AJ57" s="108"/>
      <c r="AK57" s="108"/>
      <c r="AL57" s="108"/>
      <c r="AM57" s="108"/>
      <c r="AN57" s="108"/>
      <c r="AO57" s="108"/>
      <c r="AP57" s="108"/>
      <c r="AQ57" s="108"/>
      <c r="AR57" s="108"/>
      <c r="AS57" s="108"/>
      <c r="AT57" s="108"/>
      <c r="AU57" s="108"/>
      <c r="AV57" s="108"/>
      <c r="AW57" s="108"/>
      <c r="AX57" s="9"/>
      <c r="AY57" s="108"/>
      <c r="AZ57" s="108"/>
      <c r="BA57" s="108"/>
      <c r="BB57" s="108"/>
      <c r="BC57" s="108"/>
      <c r="BD57" s="108"/>
      <c r="BE57" s="108"/>
      <c r="BF57" s="108"/>
      <c r="BG57" s="108"/>
      <c r="BH57" s="108"/>
      <c r="BI57" s="108"/>
      <c r="BJ57" s="108"/>
      <c r="BK57" s="108"/>
      <c r="BL57" s="108"/>
      <c r="BM57" s="108"/>
      <c r="BN57" s="70"/>
      <c r="BO57" s="108"/>
      <c r="BP57" s="108"/>
      <c r="BQ57" s="108"/>
      <c r="BR57" s="108"/>
      <c r="BS57" s="108"/>
      <c r="BT57" s="108"/>
      <c r="BU57" s="108"/>
      <c r="BV57" s="108"/>
      <c r="BW57" s="108"/>
      <c r="BX57" s="108"/>
      <c r="BY57" s="108"/>
      <c r="BZ57" s="108"/>
      <c r="CA57" s="108"/>
      <c r="CB57" s="108"/>
      <c r="CC57" s="108"/>
      <c r="CD57" s="70"/>
    </row>
    <row r="58" spans="1:82" ht="16" x14ac:dyDescent="0.2">
      <c r="A58" s="128" t="s">
        <v>53</v>
      </c>
      <c r="B58" s="9"/>
      <c r="C58" s="109"/>
      <c r="D58" s="115">
        <f>SUM(D60:D79)</f>
        <v>0</v>
      </c>
      <c r="E58" s="111"/>
      <c r="F58" s="109"/>
      <c r="G58" s="115">
        <f>SUM(G60:G79)</f>
        <v>1800000</v>
      </c>
      <c r="H58" s="111"/>
      <c r="I58" s="109"/>
      <c r="J58" s="115">
        <f>SUM(J60:J79)</f>
        <v>2400000</v>
      </c>
      <c r="K58" s="111"/>
      <c r="L58" s="109"/>
      <c r="M58" s="115">
        <f>SUM(M60:M79)</f>
        <v>6300000</v>
      </c>
      <c r="N58" s="111"/>
      <c r="O58" s="119"/>
      <c r="P58" s="121">
        <f>SUM(P60:P79)</f>
        <v>10500000</v>
      </c>
      <c r="Q58" s="120"/>
      <c r="R58" s="9"/>
      <c r="S58" s="109"/>
      <c r="T58" s="115">
        <f>SUM(T60:T79)</f>
        <v>0</v>
      </c>
      <c r="U58" s="111"/>
      <c r="V58" s="109"/>
      <c r="W58" s="115">
        <f>SUM(W60:W79)</f>
        <v>0</v>
      </c>
      <c r="X58" s="111"/>
      <c r="Y58" s="109"/>
      <c r="Z58" s="115">
        <f>SUM(Z60:Z79)</f>
        <v>0</v>
      </c>
      <c r="AA58" s="111"/>
      <c r="AB58" s="109"/>
      <c r="AC58" s="115">
        <f>SUM(AC60:AC79)</f>
        <v>0</v>
      </c>
      <c r="AD58" s="111"/>
      <c r="AE58" s="119"/>
      <c r="AF58" s="121">
        <f>SUM(AF60:AF79)</f>
        <v>0</v>
      </c>
      <c r="AG58" s="120"/>
      <c r="AH58" s="9"/>
      <c r="AI58" s="109"/>
      <c r="AJ58" s="115">
        <f>SUM(AJ60:AJ79)</f>
        <v>0</v>
      </c>
      <c r="AK58" s="111"/>
      <c r="AL58" s="109"/>
      <c r="AM58" s="115">
        <f>SUM(AM60:AM79)</f>
        <v>0</v>
      </c>
      <c r="AN58" s="111"/>
      <c r="AO58" s="109"/>
      <c r="AP58" s="115">
        <f>SUM(AP60:AP79)</f>
        <v>0</v>
      </c>
      <c r="AQ58" s="111"/>
      <c r="AR58" s="109"/>
      <c r="AS58" s="115">
        <f>SUM(AS60:AS79)</f>
        <v>0</v>
      </c>
      <c r="AT58" s="111"/>
      <c r="AU58" s="119"/>
      <c r="AV58" s="121">
        <f>SUM(AV60:AV79)</f>
        <v>0</v>
      </c>
      <c r="AW58" s="120"/>
      <c r="AX58" s="9"/>
      <c r="AY58" s="109"/>
      <c r="AZ58" s="115">
        <f>SUM(AZ60:AZ79)</f>
        <v>0</v>
      </c>
      <c r="BA58" s="111"/>
      <c r="BB58" s="109"/>
      <c r="BC58" s="115">
        <f>SUM(BC60:BC79)</f>
        <v>0</v>
      </c>
      <c r="BD58" s="111"/>
      <c r="BE58" s="109"/>
      <c r="BF58" s="115">
        <f>SUM(BF60:BF79)</f>
        <v>0</v>
      </c>
      <c r="BG58" s="111"/>
      <c r="BH58" s="109"/>
      <c r="BI58" s="115">
        <f>SUM(BI60:BI79)</f>
        <v>0</v>
      </c>
      <c r="BJ58" s="111"/>
      <c r="BK58" s="119"/>
      <c r="BL58" s="121">
        <f>SUM(BL60:BL79)</f>
        <v>0</v>
      </c>
      <c r="BM58" s="120"/>
      <c r="BN58" s="70"/>
      <c r="BO58" s="109"/>
      <c r="BP58" s="115">
        <f>SUM(BP60:BP79)</f>
        <v>0</v>
      </c>
      <c r="BQ58" s="111"/>
      <c r="BR58" s="109"/>
      <c r="BS58" s="115">
        <f>SUM(BS60:BS79)</f>
        <v>1800000</v>
      </c>
      <c r="BT58" s="111"/>
      <c r="BU58" s="109"/>
      <c r="BV58" s="115">
        <f>SUM(BV60:BV79)</f>
        <v>2400000</v>
      </c>
      <c r="BW58" s="111"/>
      <c r="BX58" s="109"/>
      <c r="BY58" s="115">
        <f>SUM(BY60:BY79)</f>
        <v>6300000</v>
      </c>
      <c r="BZ58" s="111"/>
      <c r="CA58" s="119"/>
      <c r="CB58" s="121">
        <f>SUM(CB60:CB79)</f>
        <v>10500000</v>
      </c>
      <c r="CC58" s="120"/>
      <c r="CD58" s="70"/>
    </row>
    <row r="59" spans="1:82" x14ac:dyDescent="0.15">
      <c r="A59" s="105"/>
      <c r="B59" s="9"/>
      <c r="C59" s="108"/>
      <c r="D59" s="112"/>
      <c r="E59" s="108"/>
      <c r="F59" s="108"/>
      <c r="G59" s="112"/>
      <c r="H59" s="108"/>
      <c r="I59" s="108"/>
      <c r="J59" s="112"/>
      <c r="K59" s="108"/>
      <c r="L59" s="108"/>
      <c r="M59" s="112"/>
      <c r="N59" s="108"/>
      <c r="O59" s="108"/>
      <c r="P59" s="112"/>
      <c r="Q59" s="108"/>
      <c r="R59" s="9"/>
      <c r="S59" s="108"/>
      <c r="T59" s="112"/>
      <c r="U59" s="108"/>
      <c r="V59" s="108"/>
      <c r="W59" s="112"/>
      <c r="X59" s="108"/>
      <c r="Y59" s="108"/>
      <c r="Z59" s="112"/>
      <c r="AA59" s="108"/>
      <c r="AB59" s="108"/>
      <c r="AC59" s="112"/>
      <c r="AD59" s="108"/>
      <c r="AE59" s="108"/>
      <c r="AF59" s="112"/>
      <c r="AG59" s="108"/>
      <c r="AH59" s="9"/>
      <c r="AI59" s="108"/>
      <c r="AJ59" s="112"/>
      <c r="AK59" s="108"/>
      <c r="AL59" s="108"/>
      <c r="AM59" s="112"/>
      <c r="AN59" s="108"/>
      <c r="AO59" s="108"/>
      <c r="AP59" s="112"/>
      <c r="AQ59" s="108"/>
      <c r="AR59" s="108"/>
      <c r="AS59" s="112"/>
      <c r="AT59" s="108"/>
      <c r="AU59" s="108"/>
      <c r="AV59" s="112"/>
      <c r="AW59" s="108"/>
      <c r="AX59" s="9"/>
      <c r="AY59" s="108"/>
      <c r="AZ59" s="112"/>
      <c r="BA59" s="108"/>
      <c r="BB59" s="108"/>
      <c r="BC59" s="112"/>
      <c r="BD59" s="108"/>
      <c r="BE59" s="108"/>
      <c r="BF59" s="112"/>
      <c r="BG59" s="108"/>
      <c r="BH59" s="108"/>
      <c r="BI59" s="112"/>
      <c r="BJ59" s="108"/>
      <c r="BK59" s="108"/>
      <c r="BL59" s="112"/>
      <c r="BM59" s="108"/>
      <c r="BN59" s="70"/>
      <c r="BO59" s="108"/>
      <c r="BP59" s="112"/>
      <c r="BQ59" s="108"/>
      <c r="BR59" s="108"/>
      <c r="BS59" s="112"/>
      <c r="BT59" s="108"/>
      <c r="BU59" s="108"/>
      <c r="BV59" s="112"/>
      <c r="BW59" s="108"/>
      <c r="BX59" s="108"/>
      <c r="BY59" s="112"/>
      <c r="BZ59" s="108"/>
      <c r="CA59" s="108"/>
      <c r="CB59" s="112"/>
      <c r="CC59" s="108"/>
      <c r="CD59" s="70"/>
    </row>
    <row r="60" spans="1:82" x14ac:dyDescent="0.15">
      <c r="A60" s="68" t="s">
        <v>135</v>
      </c>
      <c r="B60" s="9"/>
      <c r="C60" s="110"/>
      <c r="D60" s="62">
        <v>0</v>
      </c>
      <c r="E60" s="87"/>
      <c r="F60" s="110"/>
      <c r="G60" s="62">
        <v>1800000</v>
      </c>
      <c r="H60" s="87"/>
      <c r="I60" s="110"/>
      <c r="J60" s="62">
        <v>2400000</v>
      </c>
      <c r="K60" s="87"/>
      <c r="L60" s="110"/>
      <c r="M60" s="62">
        <v>6300000</v>
      </c>
      <c r="N60" s="87"/>
      <c r="O60" s="110"/>
      <c r="P60" s="116">
        <f>SUM(D60:M60)</f>
        <v>10500000</v>
      </c>
      <c r="Q60" s="108"/>
      <c r="R60" s="9"/>
      <c r="S60" s="110"/>
      <c r="T60" s="62">
        <v>0</v>
      </c>
      <c r="U60" s="87"/>
      <c r="V60" s="110"/>
      <c r="W60" s="62">
        <v>0</v>
      </c>
      <c r="X60" s="87"/>
      <c r="Y60" s="110"/>
      <c r="Z60" s="62">
        <v>0</v>
      </c>
      <c r="AA60" s="87"/>
      <c r="AB60" s="110"/>
      <c r="AC60" s="62">
        <v>0</v>
      </c>
      <c r="AD60" s="87"/>
      <c r="AE60" s="110"/>
      <c r="AF60" s="116">
        <f>SUM(T60:AC60)</f>
        <v>0</v>
      </c>
      <c r="AG60" s="108"/>
      <c r="AH60" s="9"/>
      <c r="AI60" s="110"/>
      <c r="AJ60" s="62">
        <v>0</v>
      </c>
      <c r="AK60" s="87"/>
      <c r="AL60" s="110"/>
      <c r="AM60" s="62">
        <v>0</v>
      </c>
      <c r="AN60" s="87"/>
      <c r="AO60" s="110"/>
      <c r="AP60" s="62">
        <v>0</v>
      </c>
      <c r="AQ60" s="87"/>
      <c r="AR60" s="110"/>
      <c r="AS60" s="62">
        <v>0</v>
      </c>
      <c r="AT60" s="87"/>
      <c r="AU60" s="110"/>
      <c r="AV60" s="116">
        <f>SUM(AJ60:AS60)</f>
        <v>0</v>
      </c>
      <c r="AW60" s="108"/>
      <c r="AX60" s="9"/>
      <c r="AY60" s="110"/>
      <c r="AZ60" s="62">
        <v>0</v>
      </c>
      <c r="BA60" s="87"/>
      <c r="BB60" s="110"/>
      <c r="BC60" s="62">
        <v>0</v>
      </c>
      <c r="BD60" s="87"/>
      <c r="BE60" s="110"/>
      <c r="BF60" s="62">
        <v>0</v>
      </c>
      <c r="BG60" s="87"/>
      <c r="BH60" s="110"/>
      <c r="BI60" s="62">
        <v>0</v>
      </c>
      <c r="BJ60" s="87"/>
      <c r="BK60" s="110"/>
      <c r="BL60" s="116">
        <f>SUM(AZ60:BI60)</f>
        <v>0</v>
      </c>
      <c r="BM60" s="108"/>
      <c r="BN60" s="70"/>
      <c r="BO60" s="110"/>
      <c r="BP60" s="62">
        <f>+D60+T60+AJ60+AZ60</f>
        <v>0</v>
      </c>
      <c r="BQ60" s="87"/>
      <c r="BR60" s="110"/>
      <c r="BS60" s="62">
        <f>+G60+W60+AM60+BC60</f>
        <v>1800000</v>
      </c>
      <c r="BT60" s="87"/>
      <c r="BU60" s="110"/>
      <c r="BV60" s="62">
        <f>+J60+Z60+AP60+BF60</f>
        <v>2400000</v>
      </c>
      <c r="BW60" s="87"/>
      <c r="BX60" s="110"/>
      <c r="BY60" s="62">
        <f>+M60+AC60+AS60+BI60</f>
        <v>6300000</v>
      </c>
      <c r="BZ60" s="87"/>
      <c r="CA60" s="110"/>
      <c r="CB60" s="116">
        <f>SUM(BP60:BY60)</f>
        <v>10500000</v>
      </c>
      <c r="CC60" s="108"/>
      <c r="CD60" s="70"/>
    </row>
    <row r="61" spans="1:82" x14ac:dyDescent="0.15">
      <c r="A61" s="106"/>
      <c r="B61" s="9"/>
      <c r="C61" s="108"/>
      <c r="D61" s="113"/>
      <c r="E61" s="87"/>
      <c r="F61" s="108"/>
      <c r="G61" s="113"/>
      <c r="H61" s="87"/>
      <c r="I61" s="108"/>
      <c r="J61" s="113"/>
      <c r="K61" s="87"/>
      <c r="L61" s="108"/>
      <c r="M61" s="113"/>
      <c r="N61" s="87"/>
      <c r="O61" s="108"/>
      <c r="P61" s="117"/>
      <c r="Q61" s="108"/>
      <c r="R61" s="9"/>
      <c r="S61" s="108"/>
      <c r="T61" s="113"/>
      <c r="U61" s="87"/>
      <c r="V61" s="108"/>
      <c r="W61" s="113"/>
      <c r="X61" s="87"/>
      <c r="Y61" s="108"/>
      <c r="Z61" s="113"/>
      <c r="AA61" s="87"/>
      <c r="AB61" s="108"/>
      <c r="AC61" s="113"/>
      <c r="AD61" s="87"/>
      <c r="AE61" s="108"/>
      <c r="AF61" s="117"/>
      <c r="AG61" s="108"/>
      <c r="AH61" s="9"/>
      <c r="AI61" s="108"/>
      <c r="AJ61" s="113"/>
      <c r="AK61" s="87"/>
      <c r="AL61" s="108"/>
      <c r="AM61" s="113"/>
      <c r="AN61" s="87"/>
      <c r="AO61" s="108"/>
      <c r="AP61" s="113"/>
      <c r="AQ61" s="87"/>
      <c r="AR61" s="108"/>
      <c r="AS61" s="113"/>
      <c r="AT61" s="87"/>
      <c r="AU61" s="108"/>
      <c r="AV61" s="117"/>
      <c r="AW61" s="108"/>
      <c r="AX61" s="9"/>
      <c r="AY61" s="108"/>
      <c r="AZ61" s="113"/>
      <c r="BA61" s="87"/>
      <c r="BB61" s="108"/>
      <c r="BC61" s="113"/>
      <c r="BD61" s="87"/>
      <c r="BE61" s="108"/>
      <c r="BF61" s="113"/>
      <c r="BG61" s="87"/>
      <c r="BH61" s="108"/>
      <c r="BI61" s="113"/>
      <c r="BJ61" s="87"/>
      <c r="BK61" s="108"/>
      <c r="BL61" s="117"/>
      <c r="BM61" s="108"/>
      <c r="BN61" s="70"/>
      <c r="BO61" s="108"/>
      <c r="BP61" s="113"/>
      <c r="BQ61" s="87"/>
      <c r="BR61" s="108"/>
      <c r="BS61" s="113"/>
      <c r="BT61" s="87"/>
      <c r="BU61" s="108"/>
      <c r="BV61" s="113"/>
      <c r="BW61" s="87"/>
      <c r="BX61" s="108"/>
      <c r="BY61" s="113"/>
      <c r="BZ61" s="87"/>
      <c r="CA61" s="108"/>
      <c r="CB61" s="117"/>
      <c r="CC61" s="108"/>
      <c r="CD61" s="70"/>
    </row>
    <row r="62" spans="1:82" x14ac:dyDescent="0.15">
      <c r="A62" s="68"/>
      <c r="B62" s="9"/>
      <c r="C62" s="110"/>
      <c r="D62" s="62">
        <v>0</v>
      </c>
      <c r="E62" s="87"/>
      <c r="F62" s="110"/>
      <c r="G62" s="62">
        <v>0</v>
      </c>
      <c r="H62" s="87"/>
      <c r="I62" s="110"/>
      <c r="J62" s="62">
        <v>0</v>
      </c>
      <c r="K62" s="87"/>
      <c r="L62" s="110"/>
      <c r="M62" s="62">
        <v>0</v>
      </c>
      <c r="N62" s="87"/>
      <c r="O62" s="110"/>
      <c r="P62" s="116">
        <f>SUM(D62:M62)</f>
        <v>0</v>
      </c>
      <c r="Q62" s="108"/>
      <c r="R62" s="9"/>
      <c r="S62" s="110"/>
      <c r="T62" s="62">
        <v>0</v>
      </c>
      <c r="U62" s="87"/>
      <c r="V62" s="110"/>
      <c r="W62" s="62">
        <v>0</v>
      </c>
      <c r="X62" s="87"/>
      <c r="Y62" s="110"/>
      <c r="Z62" s="62">
        <v>0</v>
      </c>
      <c r="AA62" s="87"/>
      <c r="AB62" s="110"/>
      <c r="AC62" s="62">
        <v>0</v>
      </c>
      <c r="AD62" s="87"/>
      <c r="AE62" s="110"/>
      <c r="AF62" s="116">
        <f>SUM(T62:AC62)</f>
        <v>0</v>
      </c>
      <c r="AG62" s="108"/>
      <c r="AH62" s="9"/>
      <c r="AI62" s="110"/>
      <c r="AJ62" s="62">
        <v>0</v>
      </c>
      <c r="AK62" s="87"/>
      <c r="AL62" s="110"/>
      <c r="AM62" s="62">
        <v>0</v>
      </c>
      <c r="AN62" s="87"/>
      <c r="AO62" s="110"/>
      <c r="AP62" s="62">
        <v>0</v>
      </c>
      <c r="AQ62" s="87"/>
      <c r="AR62" s="110"/>
      <c r="AS62" s="62">
        <v>0</v>
      </c>
      <c r="AT62" s="87"/>
      <c r="AU62" s="110"/>
      <c r="AV62" s="116">
        <f>SUM(AJ62:AS62)</f>
        <v>0</v>
      </c>
      <c r="AW62" s="108"/>
      <c r="AX62" s="9"/>
      <c r="AY62" s="110"/>
      <c r="AZ62" s="62">
        <v>0</v>
      </c>
      <c r="BA62" s="87"/>
      <c r="BB62" s="110"/>
      <c r="BC62" s="62">
        <v>0</v>
      </c>
      <c r="BD62" s="87"/>
      <c r="BE62" s="110"/>
      <c r="BF62" s="62">
        <v>0</v>
      </c>
      <c r="BG62" s="87"/>
      <c r="BH62" s="110"/>
      <c r="BI62" s="62">
        <v>0</v>
      </c>
      <c r="BJ62" s="87"/>
      <c r="BK62" s="110"/>
      <c r="BL62" s="116">
        <f>SUM(AZ62:BI62)</f>
        <v>0</v>
      </c>
      <c r="BM62" s="108"/>
      <c r="BN62" s="70"/>
      <c r="BO62" s="110"/>
      <c r="BP62" s="62">
        <f>+D62+T62+AJ62+AZ62</f>
        <v>0</v>
      </c>
      <c r="BQ62" s="87"/>
      <c r="BR62" s="110"/>
      <c r="BS62" s="62">
        <f>+G62+W62+AM62+BC62</f>
        <v>0</v>
      </c>
      <c r="BT62" s="87"/>
      <c r="BU62" s="110"/>
      <c r="BV62" s="62">
        <f>+J62+Z62+AP62+BF62</f>
        <v>0</v>
      </c>
      <c r="BW62" s="87"/>
      <c r="BX62" s="110"/>
      <c r="BY62" s="62">
        <f>+M62+AC62+AS62+BI62</f>
        <v>0</v>
      </c>
      <c r="BZ62" s="87"/>
      <c r="CA62" s="110"/>
      <c r="CB62" s="116">
        <f>SUM(BP62:BY62)</f>
        <v>0</v>
      </c>
      <c r="CC62" s="108"/>
      <c r="CD62" s="70"/>
    </row>
    <row r="63" spans="1:82" x14ac:dyDescent="0.15">
      <c r="A63" s="107"/>
      <c r="B63" s="9"/>
      <c r="C63" s="108"/>
      <c r="D63" s="114"/>
      <c r="E63" s="87"/>
      <c r="F63" s="108"/>
      <c r="G63" s="114"/>
      <c r="H63" s="87"/>
      <c r="I63" s="108"/>
      <c r="J63" s="114"/>
      <c r="K63" s="87"/>
      <c r="L63" s="108"/>
      <c r="M63" s="114"/>
      <c r="N63" s="87"/>
      <c r="O63" s="108"/>
      <c r="P63" s="112"/>
      <c r="Q63" s="108"/>
      <c r="R63" s="9"/>
      <c r="S63" s="108"/>
      <c r="T63" s="114"/>
      <c r="U63" s="87"/>
      <c r="V63" s="108"/>
      <c r="W63" s="114"/>
      <c r="X63" s="87"/>
      <c r="Y63" s="108"/>
      <c r="Z63" s="114"/>
      <c r="AA63" s="87"/>
      <c r="AB63" s="108"/>
      <c r="AC63" s="114"/>
      <c r="AD63" s="87"/>
      <c r="AE63" s="108"/>
      <c r="AF63" s="112"/>
      <c r="AG63" s="108"/>
      <c r="AH63" s="9"/>
      <c r="AI63" s="108"/>
      <c r="AJ63" s="114"/>
      <c r="AK63" s="87"/>
      <c r="AL63" s="108"/>
      <c r="AM63" s="114"/>
      <c r="AN63" s="87"/>
      <c r="AO63" s="108"/>
      <c r="AP63" s="114"/>
      <c r="AQ63" s="87"/>
      <c r="AR63" s="108"/>
      <c r="AS63" s="114"/>
      <c r="AT63" s="87"/>
      <c r="AU63" s="108"/>
      <c r="AV63" s="112"/>
      <c r="AW63" s="108"/>
      <c r="AX63" s="9"/>
      <c r="AY63" s="108"/>
      <c r="AZ63" s="114"/>
      <c r="BA63" s="87"/>
      <c r="BB63" s="108"/>
      <c r="BC63" s="114"/>
      <c r="BD63" s="87"/>
      <c r="BE63" s="108"/>
      <c r="BF63" s="114"/>
      <c r="BG63" s="87"/>
      <c r="BH63" s="108"/>
      <c r="BI63" s="114"/>
      <c r="BJ63" s="87"/>
      <c r="BK63" s="108"/>
      <c r="BL63" s="112"/>
      <c r="BM63" s="108"/>
      <c r="BN63" s="70"/>
      <c r="BO63" s="108"/>
      <c r="BP63" s="114"/>
      <c r="BQ63" s="87"/>
      <c r="BR63" s="108"/>
      <c r="BS63" s="114"/>
      <c r="BT63" s="87"/>
      <c r="BU63" s="108"/>
      <c r="BV63" s="114"/>
      <c r="BW63" s="87"/>
      <c r="BX63" s="108"/>
      <c r="BY63" s="114"/>
      <c r="BZ63" s="87"/>
      <c r="CA63" s="108"/>
      <c r="CB63" s="112"/>
      <c r="CC63" s="108"/>
      <c r="CD63" s="70"/>
    </row>
    <row r="64" spans="1:82" x14ac:dyDescent="0.15">
      <c r="A64" s="68"/>
      <c r="B64" s="9"/>
      <c r="C64" s="110"/>
      <c r="D64" s="62">
        <v>0</v>
      </c>
      <c r="E64" s="87"/>
      <c r="F64" s="110"/>
      <c r="G64" s="62">
        <v>0</v>
      </c>
      <c r="H64" s="87"/>
      <c r="I64" s="110"/>
      <c r="J64" s="62">
        <v>0</v>
      </c>
      <c r="K64" s="87"/>
      <c r="L64" s="110"/>
      <c r="M64" s="62">
        <v>0</v>
      </c>
      <c r="N64" s="87"/>
      <c r="O64" s="110"/>
      <c r="P64" s="116">
        <f>SUM(D64:M64)</f>
        <v>0</v>
      </c>
      <c r="Q64" s="108"/>
      <c r="R64" s="9"/>
      <c r="S64" s="110"/>
      <c r="T64" s="62">
        <v>0</v>
      </c>
      <c r="U64" s="87"/>
      <c r="V64" s="110"/>
      <c r="W64" s="62">
        <v>0</v>
      </c>
      <c r="X64" s="87"/>
      <c r="Y64" s="110"/>
      <c r="Z64" s="62">
        <v>0</v>
      </c>
      <c r="AA64" s="87"/>
      <c r="AB64" s="110"/>
      <c r="AC64" s="62">
        <v>0</v>
      </c>
      <c r="AD64" s="87"/>
      <c r="AE64" s="110"/>
      <c r="AF64" s="116">
        <f>SUM(T64:AC64)</f>
        <v>0</v>
      </c>
      <c r="AG64" s="108"/>
      <c r="AH64" s="9"/>
      <c r="AI64" s="110"/>
      <c r="AJ64" s="62">
        <v>0</v>
      </c>
      <c r="AK64" s="87"/>
      <c r="AL64" s="110"/>
      <c r="AM64" s="62">
        <v>0</v>
      </c>
      <c r="AN64" s="87"/>
      <c r="AO64" s="110"/>
      <c r="AP64" s="62">
        <v>0</v>
      </c>
      <c r="AQ64" s="87"/>
      <c r="AR64" s="110"/>
      <c r="AS64" s="62">
        <v>0</v>
      </c>
      <c r="AT64" s="87"/>
      <c r="AU64" s="110"/>
      <c r="AV64" s="116">
        <f>SUM(AJ64:AS64)</f>
        <v>0</v>
      </c>
      <c r="AW64" s="108"/>
      <c r="AX64" s="9"/>
      <c r="AY64" s="110"/>
      <c r="AZ64" s="62">
        <v>0</v>
      </c>
      <c r="BA64" s="87"/>
      <c r="BB64" s="110"/>
      <c r="BC64" s="62">
        <v>0</v>
      </c>
      <c r="BD64" s="87"/>
      <c r="BE64" s="110"/>
      <c r="BF64" s="62">
        <v>0</v>
      </c>
      <c r="BG64" s="87"/>
      <c r="BH64" s="110"/>
      <c r="BI64" s="62">
        <v>0</v>
      </c>
      <c r="BJ64" s="87"/>
      <c r="BK64" s="110"/>
      <c r="BL64" s="116">
        <f>SUM(AZ64:BI64)</f>
        <v>0</v>
      </c>
      <c r="BM64" s="108"/>
      <c r="BN64" s="70"/>
      <c r="BO64" s="110"/>
      <c r="BP64" s="62">
        <f>+D64+T64+AJ64+AZ64</f>
        <v>0</v>
      </c>
      <c r="BQ64" s="87"/>
      <c r="BR64" s="110"/>
      <c r="BS64" s="62">
        <f>+G64+W64+AM64+BC64</f>
        <v>0</v>
      </c>
      <c r="BT64" s="87"/>
      <c r="BU64" s="110"/>
      <c r="BV64" s="62">
        <f>+J64+Z64+AP64+BF64</f>
        <v>0</v>
      </c>
      <c r="BW64" s="87"/>
      <c r="BX64" s="110"/>
      <c r="BY64" s="62">
        <f>+M64+AC64+AS64+BI64</f>
        <v>0</v>
      </c>
      <c r="BZ64" s="87"/>
      <c r="CA64" s="110"/>
      <c r="CB64" s="116">
        <f>SUM(BP64:BY64)</f>
        <v>0</v>
      </c>
      <c r="CC64" s="108"/>
      <c r="CD64" s="70"/>
    </row>
    <row r="65" spans="1:82" x14ac:dyDescent="0.15">
      <c r="A65" s="107"/>
      <c r="B65" s="9"/>
      <c r="C65" s="108"/>
      <c r="D65" s="113"/>
      <c r="E65" s="87"/>
      <c r="F65" s="108"/>
      <c r="G65" s="113"/>
      <c r="H65" s="87"/>
      <c r="I65" s="108"/>
      <c r="J65" s="113"/>
      <c r="K65" s="87"/>
      <c r="L65" s="108"/>
      <c r="M65" s="113"/>
      <c r="N65" s="87"/>
      <c r="O65" s="108"/>
      <c r="P65" s="112"/>
      <c r="Q65" s="108"/>
      <c r="R65" s="9"/>
      <c r="S65" s="108"/>
      <c r="T65" s="113"/>
      <c r="U65" s="87"/>
      <c r="V65" s="108"/>
      <c r="W65" s="113"/>
      <c r="X65" s="87"/>
      <c r="Y65" s="108"/>
      <c r="Z65" s="113"/>
      <c r="AA65" s="87"/>
      <c r="AB65" s="108"/>
      <c r="AC65" s="113"/>
      <c r="AD65" s="87"/>
      <c r="AE65" s="108"/>
      <c r="AF65" s="112"/>
      <c r="AG65" s="108"/>
      <c r="AH65" s="9"/>
      <c r="AI65" s="108"/>
      <c r="AJ65" s="113"/>
      <c r="AK65" s="87"/>
      <c r="AL65" s="108"/>
      <c r="AM65" s="113"/>
      <c r="AN65" s="87"/>
      <c r="AO65" s="108"/>
      <c r="AP65" s="113"/>
      <c r="AQ65" s="87"/>
      <c r="AR65" s="108"/>
      <c r="AS65" s="113"/>
      <c r="AT65" s="87"/>
      <c r="AU65" s="108"/>
      <c r="AV65" s="112"/>
      <c r="AW65" s="108"/>
      <c r="AX65" s="9"/>
      <c r="AY65" s="108"/>
      <c r="AZ65" s="113"/>
      <c r="BA65" s="87"/>
      <c r="BB65" s="108"/>
      <c r="BC65" s="113"/>
      <c r="BD65" s="87"/>
      <c r="BE65" s="108"/>
      <c r="BF65" s="113"/>
      <c r="BG65" s="87"/>
      <c r="BH65" s="108"/>
      <c r="BI65" s="113"/>
      <c r="BJ65" s="87"/>
      <c r="BK65" s="108"/>
      <c r="BL65" s="112"/>
      <c r="BM65" s="108"/>
      <c r="BN65" s="70"/>
      <c r="BO65" s="108"/>
      <c r="BP65" s="113"/>
      <c r="BQ65" s="87"/>
      <c r="BR65" s="108"/>
      <c r="BS65" s="113"/>
      <c r="BT65" s="87"/>
      <c r="BU65" s="108"/>
      <c r="BV65" s="113"/>
      <c r="BW65" s="87"/>
      <c r="BX65" s="108"/>
      <c r="BY65" s="113"/>
      <c r="BZ65" s="87"/>
      <c r="CA65" s="108"/>
      <c r="CB65" s="112"/>
      <c r="CC65" s="108"/>
      <c r="CD65" s="70"/>
    </row>
    <row r="66" spans="1:82" x14ac:dyDescent="0.15">
      <c r="A66" s="68"/>
      <c r="B66" s="9"/>
      <c r="C66" s="110"/>
      <c r="D66" s="62">
        <v>0</v>
      </c>
      <c r="E66" s="87"/>
      <c r="F66" s="110"/>
      <c r="G66" s="62">
        <v>0</v>
      </c>
      <c r="H66" s="87"/>
      <c r="I66" s="110"/>
      <c r="J66" s="62">
        <v>0</v>
      </c>
      <c r="K66" s="87"/>
      <c r="L66" s="110"/>
      <c r="M66" s="62">
        <v>0</v>
      </c>
      <c r="N66" s="87"/>
      <c r="O66" s="110"/>
      <c r="P66" s="116">
        <f>SUM(D66:M66)</f>
        <v>0</v>
      </c>
      <c r="Q66" s="108"/>
      <c r="R66" s="9"/>
      <c r="S66" s="110"/>
      <c r="T66" s="62">
        <v>0</v>
      </c>
      <c r="U66" s="87"/>
      <c r="V66" s="110"/>
      <c r="W66" s="62">
        <v>0</v>
      </c>
      <c r="X66" s="87"/>
      <c r="Y66" s="110"/>
      <c r="Z66" s="62">
        <v>0</v>
      </c>
      <c r="AA66" s="87"/>
      <c r="AB66" s="110"/>
      <c r="AC66" s="62">
        <v>0</v>
      </c>
      <c r="AD66" s="87"/>
      <c r="AE66" s="110"/>
      <c r="AF66" s="116">
        <f>SUM(T66:AC66)</f>
        <v>0</v>
      </c>
      <c r="AG66" s="108"/>
      <c r="AH66" s="9"/>
      <c r="AI66" s="110"/>
      <c r="AJ66" s="62">
        <v>0</v>
      </c>
      <c r="AK66" s="87"/>
      <c r="AL66" s="110"/>
      <c r="AM66" s="62">
        <v>0</v>
      </c>
      <c r="AN66" s="87"/>
      <c r="AO66" s="110"/>
      <c r="AP66" s="62">
        <v>0</v>
      </c>
      <c r="AQ66" s="87"/>
      <c r="AR66" s="110"/>
      <c r="AS66" s="62">
        <v>0</v>
      </c>
      <c r="AT66" s="87"/>
      <c r="AU66" s="110"/>
      <c r="AV66" s="116">
        <f>SUM(AJ66:AS66)</f>
        <v>0</v>
      </c>
      <c r="AW66" s="108"/>
      <c r="AX66" s="9"/>
      <c r="AY66" s="110"/>
      <c r="AZ66" s="62">
        <v>0</v>
      </c>
      <c r="BA66" s="87"/>
      <c r="BB66" s="110"/>
      <c r="BC66" s="62">
        <v>0</v>
      </c>
      <c r="BD66" s="87"/>
      <c r="BE66" s="110"/>
      <c r="BF66" s="62">
        <v>0</v>
      </c>
      <c r="BG66" s="87"/>
      <c r="BH66" s="110"/>
      <c r="BI66" s="62">
        <v>0</v>
      </c>
      <c r="BJ66" s="87"/>
      <c r="BK66" s="110"/>
      <c r="BL66" s="116">
        <f>SUM(AZ66:BI66)</f>
        <v>0</v>
      </c>
      <c r="BM66" s="108"/>
      <c r="BN66" s="70"/>
      <c r="BO66" s="110"/>
      <c r="BP66" s="62">
        <f>+D66+T66+AJ66+AZ66</f>
        <v>0</v>
      </c>
      <c r="BQ66" s="87"/>
      <c r="BR66" s="110"/>
      <c r="BS66" s="62">
        <f>+G66+W66+AM66+BC66</f>
        <v>0</v>
      </c>
      <c r="BT66" s="87"/>
      <c r="BU66" s="110"/>
      <c r="BV66" s="62">
        <f>+J66+Z66+AP66+BF66</f>
        <v>0</v>
      </c>
      <c r="BW66" s="87"/>
      <c r="BX66" s="110"/>
      <c r="BY66" s="62">
        <f>+M66+AC66+AS66+BI66</f>
        <v>0</v>
      </c>
      <c r="BZ66" s="87"/>
      <c r="CA66" s="110"/>
      <c r="CB66" s="116">
        <f>SUM(BP66:BY66)</f>
        <v>0</v>
      </c>
      <c r="CC66" s="108"/>
      <c r="CD66" s="70"/>
    </row>
    <row r="67" spans="1:82" x14ac:dyDescent="0.15">
      <c r="A67" s="107"/>
      <c r="B67" s="9"/>
      <c r="C67" s="108"/>
      <c r="D67" s="114"/>
      <c r="E67" s="87"/>
      <c r="F67" s="108"/>
      <c r="G67" s="114"/>
      <c r="H67" s="87"/>
      <c r="I67" s="108"/>
      <c r="J67" s="114"/>
      <c r="K67" s="87"/>
      <c r="L67" s="108"/>
      <c r="M67" s="114"/>
      <c r="N67" s="87"/>
      <c r="O67" s="108"/>
      <c r="P67" s="112"/>
      <c r="Q67" s="108"/>
      <c r="R67" s="9"/>
      <c r="S67" s="108"/>
      <c r="T67" s="114"/>
      <c r="U67" s="87"/>
      <c r="V67" s="108"/>
      <c r="W67" s="114"/>
      <c r="X67" s="87"/>
      <c r="Y67" s="108"/>
      <c r="Z67" s="114"/>
      <c r="AA67" s="87"/>
      <c r="AB67" s="108"/>
      <c r="AC67" s="114"/>
      <c r="AD67" s="87"/>
      <c r="AE67" s="108"/>
      <c r="AF67" s="112"/>
      <c r="AG67" s="108"/>
      <c r="AH67" s="9"/>
      <c r="AI67" s="108"/>
      <c r="AJ67" s="114"/>
      <c r="AK67" s="87"/>
      <c r="AL67" s="108"/>
      <c r="AM67" s="114"/>
      <c r="AN67" s="87"/>
      <c r="AO67" s="108"/>
      <c r="AP67" s="114"/>
      <c r="AQ67" s="87"/>
      <c r="AR67" s="108"/>
      <c r="AS67" s="114"/>
      <c r="AT67" s="87"/>
      <c r="AU67" s="108"/>
      <c r="AV67" s="112"/>
      <c r="AW67" s="108"/>
      <c r="AX67" s="9"/>
      <c r="AY67" s="108"/>
      <c r="AZ67" s="114"/>
      <c r="BA67" s="87"/>
      <c r="BB67" s="108"/>
      <c r="BC67" s="114"/>
      <c r="BD67" s="87"/>
      <c r="BE67" s="108"/>
      <c r="BF67" s="114"/>
      <c r="BG67" s="87"/>
      <c r="BH67" s="108"/>
      <c r="BI67" s="114"/>
      <c r="BJ67" s="87"/>
      <c r="BK67" s="108"/>
      <c r="BL67" s="112"/>
      <c r="BM67" s="108"/>
      <c r="BN67" s="70"/>
      <c r="BO67" s="108"/>
      <c r="BP67" s="114"/>
      <c r="BQ67" s="87"/>
      <c r="BR67" s="108"/>
      <c r="BS67" s="114"/>
      <c r="BT67" s="87"/>
      <c r="BU67" s="108"/>
      <c r="BV67" s="114"/>
      <c r="BW67" s="87"/>
      <c r="BX67" s="108"/>
      <c r="BY67" s="114"/>
      <c r="BZ67" s="87"/>
      <c r="CA67" s="108"/>
      <c r="CB67" s="112"/>
      <c r="CC67" s="108"/>
      <c r="CD67" s="70"/>
    </row>
    <row r="68" spans="1:82" x14ac:dyDescent="0.15">
      <c r="A68" s="68"/>
      <c r="B68" s="9"/>
      <c r="C68" s="110"/>
      <c r="D68" s="62">
        <v>0</v>
      </c>
      <c r="E68" s="87"/>
      <c r="F68" s="110"/>
      <c r="G68" s="62">
        <v>0</v>
      </c>
      <c r="H68" s="87"/>
      <c r="I68" s="110"/>
      <c r="J68" s="62">
        <v>0</v>
      </c>
      <c r="K68" s="87"/>
      <c r="L68" s="110"/>
      <c r="M68" s="62">
        <v>0</v>
      </c>
      <c r="N68" s="87"/>
      <c r="O68" s="110"/>
      <c r="P68" s="116">
        <f>SUM(D68:M68)</f>
        <v>0</v>
      </c>
      <c r="Q68" s="108"/>
      <c r="R68" s="9"/>
      <c r="S68" s="110"/>
      <c r="T68" s="62">
        <v>0</v>
      </c>
      <c r="U68" s="87"/>
      <c r="V68" s="110"/>
      <c r="W68" s="62">
        <v>0</v>
      </c>
      <c r="X68" s="87"/>
      <c r="Y68" s="110"/>
      <c r="Z68" s="62">
        <v>0</v>
      </c>
      <c r="AA68" s="87"/>
      <c r="AB68" s="110"/>
      <c r="AC68" s="62">
        <v>0</v>
      </c>
      <c r="AD68" s="87"/>
      <c r="AE68" s="110"/>
      <c r="AF68" s="116">
        <f>SUM(T68:AC68)</f>
        <v>0</v>
      </c>
      <c r="AG68" s="108"/>
      <c r="AH68" s="9"/>
      <c r="AI68" s="110"/>
      <c r="AJ68" s="62">
        <v>0</v>
      </c>
      <c r="AK68" s="87"/>
      <c r="AL68" s="110"/>
      <c r="AM68" s="62">
        <v>0</v>
      </c>
      <c r="AN68" s="87"/>
      <c r="AO68" s="110"/>
      <c r="AP68" s="62">
        <v>0</v>
      </c>
      <c r="AQ68" s="87"/>
      <c r="AR68" s="110"/>
      <c r="AS68" s="62">
        <v>0</v>
      </c>
      <c r="AT68" s="87"/>
      <c r="AU68" s="110"/>
      <c r="AV68" s="116">
        <f>SUM(AJ68:AS68)</f>
        <v>0</v>
      </c>
      <c r="AW68" s="108"/>
      <c r="AX68" s="9"/>
      <c r="AY68" s="110"/>
      <c r="AZ68" s="62">
        <v>0</v>
      </c>
      <c r="BA68" s="87"/>
      <c r="BB68" s="110"/>
      <c r="BC68" s="62">
        <v>0</v>
      </c>
      <c r="BD68" s="87"/>
      <c r="BE68" s="110"/>
      <c r="BF68" s="62">
        <v>0</v>
      </c>
      <c r="BG68" s="87"/>
      <c r="BH68" s="110"/>
      <c r="BI68" s="62">
        <v>0</v>
      </c>
      <c r="BJ68" s="87"/>
      <c r="BK68" s="110"/>
      <c r="BL68" s="116">
        <f>SUM(AZ68:BI68)</f>
        <v>0</v>
      </c>
      <c r="BM68" s="108"/>
      <c r="BN68" s="70"/>
      <c r="BO68" s="110"/>
      <c r="BP68" s="62">
        <f>+D68+T68+AJ68+AZ68</f>
        <v>0</v>
      </c>
      <c r="BQ68" s="87"/>
      <c r="BR68" s="110"/>
      <c r="BS68" s="62">
        <f>+G68+W68+AM68+BC68</f>
        <v>0</v>
      </c>
      <c r="BT68" s="87"/>
      <c r="BU68" s="110"/>
      <c r="BV68" s="62">
        <f>+J68+Z68+AP68+BF68</f>
        <v>0</v>
      </c>
      <c r="BW68" s="87"/>
      <c r="BX68" s="110"/>
      <c r="BY68" s="62">
        <f>+M68+AC68+AS68+BI68</f>
        <v>0</v>
      </c>
      <c r="BZ68" s="87"/>
      <c r="CA68" s="110"/>
      <c r="CB68" s="116">
        <f>SUM(BP68:BY68)</f>
        <v>0</v>
      </c>
      <c r="CC68" s="108"/>
      <c r="CD68" s="70"/>
    </row>
    <row r="69" spans="1:82" x14ac:dyDescent="0.15">
      <c r="A69" s="106"/>
      <c r="B69" s="9"/>
      <c r="C69" s="108"/>
      <c r="D69" s="113"/>
      <c r="E69" s="87"/>
      <c r="F69" s="108"/>
      <c r="G69" s="113"/>
      <c r="H69" s="87"/>
      <c r="I69" s="108"/>
      <c r="J69" s="113"/>
      <c r="K69" s="87"/>
      <c r="L69" s="108"/>
      <c r="M69" s="113"/>
      <c r="N69" s="87"/>
      <c r="O69" s="108"/>
      <c r="P69" s="117"/>
      <c r="Q69" s="108"/>
      <c r="R69" s="9"/>
      <c r="S69" s="108"/>
      <c r="T69" s="113"/>
      <c r="U69" s="87"/>
      <c r="V69" s="108"/>
      <c r="W69" s="113"/>
      <c r="X69" s="87"/>
      <c r="Y69" s="108"/>
      <c r="Z69" s="113"/>
      <c r="AA69" s="87"/>
      <c r="AB69" s="108"/>
      <c r="AC69" s="113"/>
      <c r="AD69" s="87"/>
      <c r="AE69" s="108"/>
      <c r="AF69" s="117"/>
      <c r="AG69" s="108"/>
      <c r="AH69" s="9"/>
      <c r="AI69" s="108"/>
      <c r="AJ69" s="113"/>
      <c r="AK69" s="87"/>
      <c r="AL69" s="108"/>
      <c r="AM69" s="113"/>
      <c r="AN69" s="87"/>
      <c r="AO69" s="108"/>
      <c r="AP69" s="113"/>
      <c r="AQ69" s="87"/>
      <c r="AR69" s="108"/>
      <c r="AS69" s="113"/>
      <c r="AT69" s="87"/>
      <c r="AU69" s="108"/>
      <c r="AV69" s="117"/>
      <c r="AW69" s="108"/>
      <c r="AX69" s="9"/>
      <c r="AY69" s="108"/>
      <c r="AZ69" s="113"/>
      <c r="BA69" s="87"/>
      <c r="BB69" s="108"/>
      <c r="BC69" s="113"/>
      <c r="BD69" s="87"/>
      <c r="BE69" s="108"/>
      <c r="BF69" s="113"/>
      <c r="BG69" s="87"/>
      <c r="BH69" s="108"/>
      <c r="BI69" s="113"/>
      <c r="BJ69" s="87"/>
      <c r="BK69" s="108"/>
      <c r="BL69" s="117"/>
      <c r="BM69" s="108"/>
      <c r="BN69" s="70"/>
      <c r="BO69" s="108"/>
      <c r="BP69" s="113"/>
      <c r="BQ69" s="87"/>
      <c r="BR69" s="108"/>
      <c r="BS69" s="113"/>
      <c r="BT69" s="87"/>
      <c r="BU69" s="108"/>
      <c r="BV69" s="113"/>
      <c r="BW69" s="87"/>
      <c r="BX69" s="108"/>
      <c r="BY69" s="113"/>
      <c r="BZ69" s="87"/>
      <c r="CA69" s="108"/>
      <c r="CB69" s="117"/>
      <c r="CC69" s="108"/>
      <c r="CD69" s="70"/>
    </row>
    <row r="70" spans="1:82" x14ac:dyDescent="0.15">
      <c r="A70" s="68"/>
      <c r="B70" s="9"/>
      <c r="C70" s="110"/>
      <c r="D70" s="62">
        <v>0</v>
      </c>
      <c r="E70" s="87"/>
      <c r="F70" s="110"/>
      <c r="G70" s="62">
        <v>0</v>
      </c>
      <c r="H70" s="87"/>
      <c r="I70" s="110"/>
      <c r="J70" s="62">
        <v>0</v>
      </c>
      <c r="K70" s="87"/>
      <c r="L70" s="110"/>
      <c r="M70" s="62">
        <v>0</v>
      </c>
      <c r="N70" s="87"/>
      <c r="O70" s="110"/>
      <c r="P70" s="116">
        <f>SUM(D70:M70)</f>
        <v>0</v>
      </c>
      <c r="Q70" s="108"/>
      <c r="R70" s="9"/>
      <c r="S70" s="110"/>
      <c r="T70" s="62">
        <v>0</v>
      </c>
      <c r="U70" s="87"/>
      <c r="V70" s="110"/>
      <c r="W70" s="62">
        <v>0</v>
      </c>
      <c r="X70" s="87"/>
      <c r="Y70" s="110"/>
      <c r="Z70" s="62">
        <v>0</v>
      </c>
      <c r="AA70" s="87"/>
      <c r="AB70" s="110"/>
      <c r="AC70" s="62">
        <v>0</v>
      </c>
      <c r="AD70" s="87"/>
      <c r="AE70" s="110"/>
      <c r="AF70" s="116">
        <f>SUM(T70:AC70)</f>
        <v>0</v>
      </c>
      <c r="AG70" s="108"/>
      <c r="AH70" s="9"/>
      <c r="AI70" s="110"/>
      <c r="AJ70" s="62">
        <v>0</v>
      </c>
      <c r="AK70" s="87"/>
      <c r="AL70" s="110"/>
      <c r="AM70" s="62">
        <v>0</v>
      </c>
      <c r="AN70" s="87"/>
      <c r="AO70" s="110"/>
      <c r="AP70" s="62">
        <v>0</v>
      </c>
      <c r="AQ70" s="87"/>
      <c r="AR70" s="110"/>
      <c r="AS70" s="62">
        <v>0</v>
      </c>
      <c r="AT70" s="87"/>
      <c r="AU70" s="110"/>
      <c r="AV70" s="116">
        <f>SUM(AJ70:AS70)</f>
        <v>0</v>
      </c>
      <c r="AW70" s="108"/>
      <c r="AX70" s="9"/>
      <c r="AY70" s="110"/>
      <c r="AZ70" s="62">
        <v>0</v>
      </c>
      <c r="BA70" s="87"/>
      <c r="BB70" s="110"/>
      <c r="BC70" s="62">
        <v>0</v>
      </c>
      <c r="BD70" s="87"/>
      <c r="BE70" s="110"/>
      <c r="BF70" s="62">
        <v>0</v>
      </c>
      <c r="BG70" s="87"/>
      <c r="BH70" s="110"/>
      <c r="BI70" s="62">
        <v>0</v>
      </c>
      <c r="BJ70" s="87"/>
      <c r="BK70" s="110"/>
      <c r="BL70" s="116">
        <f>SUM(AZ70:BI70)</f>
        <v>0</v>
      </c>
      <c r="BM70" s="108"/>
      <c r="BN70" s="70"/>
      <c r="BO70" s="110"/>
      <c r="BP70" s="62">
        <f>+D70+T70+AJ70+AZ70</f>
        <v>0</v>
      </c>
      <c r="BQ70" s="87"/>
      <c r="BR70" s="110"/>
      <c r="BS70" s="62">
        <f>+G70+W70+AM70+BC70</f>
        <v>0</v>
      </c>
      <c r="BT70" s="87"/>
      <c r="BU70" s="110"/>
      <c r="BV70" s="62">
        <f>+J70+Z70+AP70+BF70</f>
        <v>0</v>
      </c>
      <c r="BW70" s="87"/>
      <c r="BX70" s="110"/>
      <c r="BY70" s="62">
        <f>+M70+AC70+AS70+BI70</f>
        <v>0</v>
      </c>
      <c r="BZ70" s="87"/>
      <c r="CA70" s="110"/>
      <c r="CB70" s="116">
        <f>SUM(BP70:BY70)</f>
        <v>0</v>
      </c>
      <c r="CC70" s="108"/>
      <c r="CD70" s="70"/>
    </row>
    <row r="71" spans="1:82" x14ac:dyDescent="0.15">
      <c r="A71" s="107"/>
      <c r="B71" s="9"/>
      <c r="C71" s="108"/>
      <c r="D71" s="114"/>
      <c r="E71" s="87"/>
      <c r="F71" s="108"/>
      <c r="G71" s="114"/>
      <c r="H71" s="87"/>
      <c r="I71" s="108"/>
      <c r="J71" s="114"/>
      <c r="K71" s="87"/>
      <c r="L71" s="108"/>
      <c r="M71" s="114"/>
      <c r="N71" s="87"/>
      <c r="O71" s="108"/>
      <c r="P71" s="112"/>
      <c r="Q71" s="108"/>
      <c r="R71" s="9"/>
      <c r="S71" s="108"/>
      <c r="T71" s="114"/>
      <c r="U71" s="87"/>
      <c r="V71" s="108"/>
      <c r="W71" s="114"/>
      <c r="X71" s="87"/>
      <c r="Y71" s="108"/>
      <c r="Z71" s="114"/>
      <c r="AA71" s="87"/>
      <c r="AB71" s="108"/>
      <c r="AC71" s="114"/>
      <c r="AD71" s="87"/>
      <c r="AE71" s="108"/>
      <c r="AF71" s="112"/>
      <c r="AG71" s="108"/>
      <c r="AH71" s="9"/>
      <c r="AI71" s="108"/>
      <c r="AJ71" s="114"/>
      <c r="AK71" s="87"/>
      <c r="AL71" s="108"/>
      <c r="AM71" s="114"/>
      <c r="AN71" s="87"/>
      <c r="AO71" s="108"/>
      <c r="AP71" s="114"/>
      <c r="AQ71" s="87"/>
      <c r="AR71" s="108"/>
      <c r="AS71" s="114"/>
      <c r="AT71" s="87"/>
      <c r="AU71" s="108"/>
      <c r="AV71" s="112"/>
      <c r="AW71" s="108"/>
      <c r="AX71" s="9"/>
      <c r="AY71" s="108"/>
      <c r="AZ71" s="114"/>
      <c r="BA71" s="87"/>
      <c r="BB71" s="108"/>
      <c r="BC71" s="114"/>
      <c r="BD71" s="87"/>
      <c r="BE71" s="108"/>
      <c r="BF71" s="114"/>
      <c r="BG71" s="87"/>
      <c r="BH71" s="108"/>
      <c r="BI71" s="114"/>
      <c r="BJ71" s="87"/>
      <c r="BK71" s="108"/>
      <c r="BL71" s="112"/>
      <c r="BM71" s="108"/>
      <c r="BN71" s="70"/>
      <c r="BO71" s="108"/>
      <c r="BP71" s="114"/>
      <c r="BQ71" s="87"/>
      <c r="BR71" s="108"/>
      <c r="BS71" s="114"/>
      <c r="BT71" s="87"/>
      <c r="BU71" s="108"/>
      <c r="BV71" s="114"/>
      <c r="BW71" s="87"/>
      <c r="BX71" s="108"/>
      <c r="BY71" s="114"/>
      <c r="BZ71" s="87"/>
      <c r="CA71" s="108"/>
      <c r="CB71" s="112"/>
      <c r="CC71" s="108"/>
      <c r="CD71" s="70"/>
    </row>
    <row r="72" spans="1:82" x14ac:dyDescent="0.15">
      <c r="A72" s="68"/>
      <c r="B72" s="9"/>
      <c r="C72" s="110"/>
      <c r="D72" s="62">
        <v>0</v>
      </c>
      <c r="E72" s="87"/>
      <c r="F72" s="110"/>
      <c r="G72" s="62">
        <v>0</v>
      </c>
      <c r="H72" s="87"/>
      <c r="I72" s="110"/>
      <c r="J72" s="62">
        <v>0</v>
      </c>
      <c r="K72" s="87"/>
      <c r="L72" s="110"/>
      <c r="M72" s="62">
        <v>0</v>
      </c>
      <c r="N72" s="87"/>
      <c r="O72" s="110"/>
      <c r="P72" s="116">
        <f>SUM(D72:M72)</f>
        <v>0</v>
      </c>
      <c r="Q72" s="108"/>
      <c r="R72" s="9"/>
      <c r="S72" s="110"/>
      <c r="T72" s="62">
        <v>0</v>
      </c>
      <c r="U72" s="87"/>
      <c r="V72" s="110"/>
      <c r="W72" s="62">
        <v>0</v>
      </c>
      <c r="X72" s="87"/>
      <c r="Y72" s="110"/>
      <c r="Z72" s="62">
        <v>0</v>
      </c>
      <c r="AA72" s="87"/>
      <c r="AB72" s="110"/>
      <c r="AC72" s="62">
        <v>0</v>
      </c>
      <c r="AD72" s="87"/>
      <c r="AE72" s="110"/>
      <c r="AF72" s="116">
        <f>SUM(T72:AC72)</f>
        <v>0</v>
      </c>
      <c r="AG72" s="108"/>
      <c r="AH72" s="9"/>
      <c r="AI72" s="110"/>
      <c r="AJ72" s="62">
        <v>0</v>
      </c>
      <c r="AK72" s="87"/>
      <c r="AL72" s="110"/>
      <c r="AM72" s="62">
        <v>0</v>
      </c>
      <c r="AN72" s="87"/>
      <c r="AO72" s="110"/>
      <c r="AP72" s="62">
        <v>0</v>
      </c>
      <c r="AQ72" s="87"/>
      <c r="AR72" s="110"/>
      <c r="AS72" s="62">
        <v>0</v>
      </c>
      <c r="AT72" s="87"/>
      <c r="AU72" s="110"/>
      <c r="AV72" s="116">
        <f>SUM(AJ72:AS72)</f>
        <v>0</v>
      </c>
      <c r="AW72" s="108"/>
      <c r="AX72" s="9"/>
      <c r="AY72" s="110"/>
      <c r="AZ72" s="62">
        <v>0</v>
      </c>
      <c r="BA72" s="87"/>
      <c r="BB72" s="110"/>
      <c r="BC72" s="62">
        <v>0</v>
      </c>
      <c r="BD72" s="87"/>
      <c r="BE72" s="110"/>
      <c r="BF72" s="62">
        <v>0</v>
      </c>
      <c r="BG72" s="87"/>
      <c r="BH72" s="110"/>
      <c r="BI72" s="62">
        <v>0</v>
      </c>
      <c r="BJ72" s="87"/>
      <c r="BK72" s="110"/>
      <c r="BL72" s="116">
        <f>SUM(AZ72:BI72)</f>
        <v>0</v>
      </c>
      <c r="BM72" s="108"/>
      <c r="BN72" s="70"/>
      <c r="BO72" s="110"/>
      <c r="BP72" s="62">
        <f>+D72+T72+AJ72+AZ72</f>
        <v>0</v>
      </c>
      <c r="BQ72" s="87"/>
      <c r="BR72" s="110"/>
      <c r="BS72" s="62">
        <f>+G72+W72+AM72+BC72</f>
        <v>0</v>
      </c>
      <c r="BT72" s="87"/>
      <c r="BU72" s="110"/>
      <c r="BV72" s="62">
        <f>+J72+Z72+AP72+BF72</f>
        <v>0</v>
      </c>
      <c r="BW72" s="87"/>
      <c r="BX72" s="110"/>
      <c r="BY72" s="62">
        <f>+M72+AC72+AS72+BI72</f>
        <v>0</v>
      </c>
      <c r="BZ72" s="87"/>
      <c r="CA72" s="110"/>
      <c r="CB72" s="116">
        <f>SUM(BP72:BY72)</f>
        <v>0</v>
      </c>
      <c r="CC72" s="108"/>
      <c r="CD72" s="70"/>
    </row>
    <row r="73" spans="1:82" x14ac:dyDescent="0.15">
      <c r="A73" s="107"/>
      <c r="B73" s="9"/>
      <c r="C73" s="108"/>
      <c r="D73" s="113"/>
      <c r="E73" s="87"/>
      <c r="F73" s="108"/>
      <c r="G73" s="113"/>
      <c r="H73" s="87"/>
      <c r="I73" s="108"/>
      <c r="J73" s="113"/>
      <c r="K73" s="87"/>
      <c r="L73" s="108"/>
      <c r="M73" s="113"/>
      <c r="N73" s="87"/>
      <c r="O73" s="108"/>
      <c r="P73" s="112"/>
      <c r="Q73" s="108"/>
      <c r="R73" s="9"/>
      <c r="S73" s="108"/>
      <c r="T73" s="113"/>
      <c r="U73" s="87"/>
      <c r="V73" s="108"/>
      <c r="W73" s="113"/>
      <c r="X73" s="87"/>
      <c r="Y73" s="108"/>
      <c r="Z73" s="113"/>
      <c r="AA73" s="87"/>
      <c r="AB73" s="108"/>
      <c r="AC73" s="113"/>
      <c r="AD73" s="87"/>
      <c r="AE73" s="108"/>
      <c r="AF73" s="112"/>
      <c r="AG73" s="108"/>
      <c r="AH73" s="9"/>
      <c r="AI73" s="108"/>
      <c r="AJ73" s="113"/>
      <c r="AK73" s="87"/>
      <c r="AL73" s="108"/>
      <c r="AM73" s="113"/>
      <c r="AN73" s="87"/>
      <c r="AO73" s="108"/>
      <c r="AP73" s="113"/>
      <c r="AQ73" s="87"/>
      <c r="AR73" s="108"/>
      <c r="AS73" s="113"/>
      <c r="AT73" s="87"/>
      <c r="AU73" s="108"/>
      <c r="AV73" s="112"/>
      <c r="AW73" s="108"/>
      <c r="AX73" s="9"/>
      <c r="AY73" s="108"/>
      <c r="AZ73" s="113"/>
      <c r="BA73" s="87"/>
      <c r="BB73" s="108"/>
      <c r="BC73" s="113"/>
      <c r="BD73" s="87"/>
      <c r="BE73" s="108"/>
      <c r="BF73" s="113"/>
      <c r="BG73" s="87"/>
      <c r="BH73" s="108"/>
      <c r="BI73" s="113"/>
      <c r="BJ73" s="87"/>
      <c r="BK73" s="108"/>
      <c r="BL73" s="112"/>
      <c r="BM73" s="108"/>
      <c r="BN73" s="70"/>
      <c r="BO73" s="108"/>
      <c r="BP73" s="113"/>
      <c r="BQ73" s="87"/>
      <c r="BR73" s="108"/>
      <c r="BS73" s="113"/>
      <c r="BT73" s="87"/>
      <c r="BU73" s="108"/>
      <c r="BV73" s="113"/>
      <c r="BW73" s="87"/>
      <c r="BX73" s="108"/>
      <c r="BY73" s="113"/>
      <c r="BZ73" s="87"/>
      <c r="CA73" s="108"/>
      <c r="CB73" s="112"/>
      <c r="CC73" s="108"/>
      <c r="CD73" s="70"/>
    </row>
    <row r="74" spans="1:82" x14ac:dyDescent="0.15">
      <c r="A74" s="68"/>
      <c r="B74" s="9"/>
      <c r="C74" s="110"/>
      <c r="D74" s="62">
        <v>0</v>
      </c>
      <c r="E74" s="87"/>
      <c r="F74" s="110"/>
      <c r="G74" s="62">
        <v>0</v>
      </c>
      <c r="H74" s="87"/>
      <c r="I74" s="110"/>
      <c r="J74" s="62">
        <v>0</v>
      </c>
      <c r="K74" s="87"/>
      <c r="L74" s="110"/>
      <c r="M74" s="62">
        <v>0</v>
      </c>
      <c r="N74" s="87"/>
      <c r="O74" s="110"/>
      <c r="P74" s="116">
        <f>SUM(D74:M74)</f>
        <v>0</v>
      </c>
      <c r="Q74" s="108"/>
      <c r="R74" s="9"/>
      <c r="S74" s="110"/>
      <c r="T74" s="62">
        <v>0</v>
      </c>
      <c r="U74" s="87"/>
      <c r="V74" s="110"/>
      <c r="W74" s="62">
        <v>0</v>
      </c>
      <c r="X74" s="87"/>
      <c r="Y74" s="110"/>
      <c r="Z74" s="62">
        <v>0</v>
      </c>
      <c r="AA74" s="87"/>
      <c r="AB74" s="110"/>
      <c r="AC74" s="62">
        <v>0</v>
      </c>
      <c r="AD74" s="87"/>
      <c r="AE74" s="110"/>
      <c r="AF74" s="116">
        <f>SUM(T74:AC74)</f>
        <v>0</v>
      </c>
      <c r="AG74" s="108"/>
      <c r="AH74" s="9"/>
      <c r="AI74" s="110"/>
      <c r="AJ74" s="62">
        <v>0</v>
      </c>
      <c r="AK74" s="87"/>
      <c r="AL74" s="110"/>
      <c r="AM74" s="62">
        <v>0</v>
      </c>
      <c r="AN74" s="87"/>
      <c r="AO74" s="110"/>
      <c r="AP74" s="62">
        <v>0</v>
      </c>
      <c r="AQ74" s="87"/>
      <c r="AR74" s="110"/>
      <c r="AS74" s="62">
        <v>0</v>
      </c>
      <c r="AT74" s="87"/>
      <c r="AU74" s="110"/>
      <c r="AV74" s="116">
        <f>SUM(AJ74:AS74)</f>
        <v>0</v>
      </c>
      <c r="AW74" s="108"/>
      <c r="AX74" s="9"/>
      <c r="AY74" s="110"/>
      <c r="AZ74" s="62">
        <v>0</v>
      </c>
      <c r="BA74" s="87"/>
      <c r="BB74" s="110"/>
      <c r="BC74" s="62">
        <v>0</v>
      </c>
      <c r="BD74" s="87"/>
      <c r="BE74" s="110"/>
      <c r="BF74" s="62">
        <v>0</v>
      </c>
      <c r="BG74" s="87"/>
      <c r="BH74" s="110"/>
      <c r="BI74" s="62">
        <v>0</v>
      </c>
      <c r="BJ74" s="87"/>
      <c r="BK74" s="110"/>
      <c r="BL74" s="116">
        <f>SUM(AZ74:BI74)</f>
        <v>0</v>
      </c>
      <c r="BM74" s="108"/>
      <c r="BN74" s="70"/>
      <c r="BO74" s="110"/>
      <c r="BP74" s="62">
        <f>+D74+T74+AJ74+AZ74</f>
        <v>0</v>
      </c>
      <c r="BQ74" s="87"/>
      <c r="BR74" s="110"/>
      <c r="BS74" s="62">
        <f>+G74+W74+AM74+BC74</f>
        <v>0</v>
      </c>
      <c r="BT74" s="87"/>
      <c r="BU74" s="110"/>
      <c r="BV74" s="62">
        <f>+J74+Z74+AP74+BF74</f>
        <v>0</v>
      </c>
      <c r="BW74" s="87"/>
      <c r="BX74" s="110"/>
      <c r="BY74" s="62">
        <f>+M74+AC74+AS74+BI74</f>
        <v>0</v>
      </c>
      <c r="BZ74" s="87"/>
      <c r="CA74" s="110"/>
      <c r="CB74" s="116">
        <f>SUM(BP74:BY74)</f>
        <v>0</v>
      </c>
      <c r="CC74" s="108"/>
      <c r="CD74" s="70"/>
    </row>
    <row r="75" spans="1:82" x14ac:dyDescent="0.15">
      <c r="A75" s="106"/>
      <c r="B75" s="9"/>
      <c r="C75" s="108"/>
      <c r="D75" s="113"/>
      <c r="E75" s="87"/>
      <c r="F75" s="108"/>
      <c r="G75" s="113"/>
      <c r="H75" s="87"/>
      <c r="I75" s="108"/>
      <c r="J75" s="113"/>
      <c r="K75" s="87"/>
      <c r="L75" s="108"/>
      <c r="M75" s="113"/>
      <c r="N75" s="87"/>
      <c r="O75" s="108"/>
      <c r="P75" s="117"/>
      <c r="Q75" s="108"/>
      <c r="R75" s="9"/>
      <c r="S75" s="108"/>
      <c r="T75" s="113"/>
      <c r="U75" s="87"/>
      <c r="V75" s="108"/>
      <c r="W75" s="113"/>
      <c r="X75" s="87"/>
      <c r="Y75" s="108"/>
      <c r="Z75" s="113"/>
      <c r="AA75" s="87"/>
      <c r="AB75" s="108"/>
      <c r="AC75" s="113"/>
      <c r="AD75" s="87"/>
      <c r="AE75" s="108"/>
      <c r="AF75" s="117"/>
      <c r="AG75" s="108"/>
      <c r="AH75" s="9"/>
      <c r="AI75" s="108"/>
      <c r="AJ75" s="113"/>
      <c r="AK75" s="87"/>
      <c r="AL75" s="108"/>
      <c r="AM75" s="113"/>
      <c r="AN75" s="87"/>
      <c r="AO75" s="108"/>
      <c r="AP75" s="113"/>
      <c r="AQ75" s="87"/>
      <c r="AR75" s="108"/>
      <c r="AS75" s="113"/>
      <c r="AT75" s="87"/>
      <c r="AU75" s="108"/>
      <c r="AV75" s="117"/>
      <c r="AW75" s="108"/>
      <c r="AX75" s="9"/>
      <c r="AY75" s="108"/>
      <c r="AZ75" s="113"/>
      <c r="BA75" s="87"/>
      <c r="BB75" s="108"/>
      <c r="BC75" s="113"/>
      <c r="BD75" s="87"/>
      <c r="BE75" s="108"/>
      <c r="BF75" s="113"/>
      <c r="BG75" s="87"/>
      <c r="BH75" s="108"/>
      <c r="BI75" s="113"/>
      <c r="BJ75" s="87"/>
      <c r="BK75" s="108"/>
      <c r="BL75" s="117"/>
      <c r="BM75" s="108"/>
      <c r="BN75" s="70"/>
      <c r="BO75" s="108"/>
      <c r="BP75" s="113"/>
      <c r="BQ75" s="87"/>
      <c r="BR75" s="108"/>
      <c r="BS75" s="113"/>
      <c r="BT75" s="87"/>
      <c r="BU75" s="108"/>
      <c r="BV75" s="113"/>
      <c r="BW75" s="87"/>
      <c r="BX75" s="108"/>
      <c r="BY75" s="113"/>
      <c r="BZ75" s="87"/>
      <c r="CA75" s="108"/>
      <c r="CB75" s="117"/>
      <c r="CC75" s="108"/>
      <c r="CD75" s="70"/>
    </row>
    <row r="76" spans="1:82" x14ac:dyDescent="0.15">
      <c r="A76" s="68"/>
      <c r="B76" s="9"/>
      <c r="C76" s="110"/>
      <c r="D76" s="62">
        <v>0</v>
      </c>
      <c r="E76" s="87"/>
      <c r="F76" s="110"/>
      <c r="G76" s="62">
        <v>0</v>
      </c>
      <c r="H76" s="87"/>
      <c r="I76" s="110"/>
      <c r="J76" s="62">
        <v>0</v>
      </c>
      <c r="K76" s="87"/>
      <c r="L76" s="110"/>
      <c r="M76" s="62">
        <v>0</v>
      </c>
      <c r="N76" s="87"/>
      <c r="O76" s="110"/>
      <c r="P76" s="116">
        <f>SUM(D76:M76)</f>
        <v>0</v>
      </c>
      <c r="Q76" s="108"/>
      <c r="R76" s="9"/>
      <c r="S76" s="110"/>
      <c r="T76" s="62">
        <v>0</v>
      </c>
      <c r="U76" s="87"/>
      <c r="V76" s="110"/>
      <c r="W76" s="62">
        <v>0</v>
      </c>
      <c r="X76" s="87"/>
      <c r="Y76" s="110"/>
      <c r="Z76" s="62">
        <v>0</v>
      </c>
      <c r="AA76" s="87"/>
      <c r="AB76" s="110"/>
      <c r="AC76" s="62">
        <v>0</v>
      </c>
      <c r="AD76" s="87"/>
      <c r="AE76" s="110"/>
      <c r="AF76" s="116">
        <f>SUM(T76:AC76)</f>
        <v>0</v>
      </c>
      <c r="AG76" s="108"/>
      <c r="AH76" s="9"/>
      <c r="AI76" s="110"/>
      <c r="AJ76" s="62">
        <v>0</v>
      </c>
      <c r="AK76" s="87"/>
      <c r="AL76" s="110"/>
      <c r="AM76" s="62">
        <v>0</v>
      </c>
      <c r="AN76" s="87"/>
      <c r="AO76" s="110"/>
      <c r="AP76" s="62">
        <v>0</v>
      </c>
      <c r="AQ76" s="87"/>
      <c r="AR76" s="110"/>
      <c r="AS76" s="62">
        <v>0</v>
      </c>
      <c r="AT76" s="87"/>
      <c r="AU76" s="110"/>
      <c r="AV76" s="116">
        <f>SUM(AJ76:AS76)</f>
        <v>0</v>
      </c>
      <c r="AW76" s="108"/>
      <c r="AX76" s="9"/>
      <c r="AY76" s="110"/>
      <c r="AZ76" s="62">
        <v>0</v>
      </c>
      <c r="BA76" s="87"/>
      <c r="BB76" s="110"/>
      <c r="BC76" s="62">
        <v>0</v>
      </c>
      <c r="BD76" s="87"/>
      <c r="BE76" s="110"/>
      <c r="BF76" s="62">
        <v>0</v>
      </c>
      <c r="BG76" s="87"/>
      <c r="BH76" s="110"/>
      <c r="BI76" s="62">
        <v>0</v>
      </c>
      <c r="BJ76" s="87"/>
      <c r="BK76" s="110"/>
      <c r="BL76" s="116">
        <f>SUM(AZ76:BI76)</f>
        <v>0</v>
      </c>
      <c r="BM76" s="108"/>
      <c r="BN76" s="70"/>
      <c r="BO76" s="110"/>
      <c r="BP76" s="62">
        <f>+D76+T76+AJ76+AZ76</f>
        <v>0</v>
      </c>
      <c r="BQ76" s="87"/>
      <c r="BR76" s="110"/>
      <c r="BS76" s="62">
        <f>+G76+W76+AM76+BC76</f>
        <v>0</v>
      </c>
      <c r="BT76" s="87"/>
      <c r="BU76" s="110"/>
      <c r="BV76" s="62">
        <f>+J76+Z76+AP76+BF76</f>
        <v>0</v>
      </c>
      <c r="BW76" s="87"/>
      <c r="BX76" s="110"/>
      <c r="BY76" s="62">
        <f>+M76+AC76+AS76+BI76</f>
        <v>0</v>
      </c>
      <c r="BZ76" s="87"/>
      <c r="CA76" s="110"/>
      <c r="CB76" s="116">
        <f>SUM(BP76:BY76)</f>
        <v>0</v>
      </c>
      <c r="CC76" s="108"/>
      <c r="CD76" s="70"/>
    </row>
    <row r="77" spans="1:82" x14ac:dyDescent="0.15">
      <c r="A77" s="107"/>
      <c r="B77" s="9"/>
      <c r="C77" s="108"/>
      <c r="D77" s="114"/>
      <c r="E77" s="87"/>
      <c r="F77" s="108"/>
      <c r="G77" s="114"/>
      <c r="H77" s="87"/>
      <c r="I77" s="108"/>
      <c r="J77" s="114"/>
      <c r="K77" s="87"/>
      <c r="L77" s="108"/>
      <c r="M77" s="114"/>
      <c r="N77" s="87"/>
      <c r="O77" s="108"/>
      <c r="P77" s="112"/>
      <c r="Q77" s="108"/>
      <c r="R77" s="9"/>
      <c r="S77" s="108"/>
      <c r="T77" s="114"/>
      <c r="U77" s="87"/>
      <c r="V77" s="108"/>
      <c r="W77" s="114"/>
      <c r="X77" s="87"/>
      <c r="Y77" s="108"/>
      <c r="Z77" s="114"/>
      <c r="AA77" s="87"/>
      <c r="AB77" s="108"/>
      <c r="AC77" s="114"/>
      <c r="AD77" s="87"/>
      <c r="AE77" s="108"/>
      <c r="AF77" s="112"/>
      <c r="AG77" s="108"/>
      <c r="AH77" s="9"/>
      <c r="AI77" s="108"/>
      <c r="AJ77" s="114"/>
      <c r="AK77" s="87"/>
      <c r="AL77" s="108"/>
      <c r="AM77" s="114"/>
      <c r="AN77" s="87"/>
      <c r="AO77" s="108"/>
      <c r="AP77" s="114"/>
      <c r="AQ77" s="87"/>
      <c r="AR77" s="108"/>
      <c r="AS77" s="114"/>
      <c r="AT77" s="87"/>
      <c r="AU77" s="108"/>
      <c r="AV77" s="112"/>
      <c r="AW77" s="108"/>
      <c r="AX77" s="9"/>
      <c r="AY77" s="108"/>
      <c r="AZ77" s="114"/>
      <c r="BA77" s="87"/>
      <c r="BB77" s="108"/>
      <c r="BC77" s="114"/>
      <c r="BD77" s="87"/>
      <c r="BE77" s="108"/>
      <c r="BF77" s="114"/>
      <c r="BG77" s="87"/>
      <c r="BH77" s="108"/>
      <c r="BI77" s="114"/>
      <c r="BJ77" s="87"/>
      <c r="BK77" s="108"/>
      <c r="BL77" s="112"/>
      <c r="BM77" s="108"/>
      <c r="BN77" s="70"/>
      <c r="BO77" s="108"/>
      <c r="BP77" s="114"/>
      <c r="BQ77" s="87"/>
      <c r="BR77" s="108"/>
      <c r="BS77" s="114"/>
      <c r="BT77" s="87"/>
      <c r="BU77" s="108"/>
      <c r="BV77" s="114"/>
      <c r="BW77" s="87"/>
      <c r="BX77" s="108"/>
      <c r="BY77" s="114"/>
      <c r="BZ77" s="87"/>
      <c r="CA77" s="108"/>
      <c r="CB77" s="112"/>
      <c r="CC77" s="108"/>
      <c r="CD77" s="70"/>
    </row>
    <row r="78" spans="1:82" x14ac:dyDescent="0.15">
      <c r="A78" s="68"/>
      <c r="B78" s="9"/>
      <c r="C78" s="110"/>
      <c r="D78" s="62">
        <v>0</v>
      </c>
      <c r="E78" s="87"/>
      <c r="F78" s="110"/>
      <c r="G78" s="62">
        <v>0</v>
      </c>
      <c r="H78" s="87"/>
      <c r="I78" s="110"/>
      <c r="J78" s="62">
        <v>0</v>
      </c>
      <c r="K78" s="87"/>
      <c r="L78" s="110"/>
      <c r="M78" s="62">
        <v>0</v>
      </c>
      <c r="N78" s="87"/>
      <c r="O78" s="110"/>
      <c r="P78" s="116">
        <f>SUM(D78:M78)</f>
        <v>0</v>
      </c>
      <c r="Q78" s="108"/>
      <c r="R78" s="9"/>
      <c r="S78" s="110"/>
      <c r="T78" s="62">
        <v>0</v>
      </c>
      <c r="U78" s="87"/>
      <c r="V78" s="110"/>
      <c r="W78" s="62">
        <v>0</v>
      </c>
      <c r="X78" s="87"/>
      <c r="Y78" s="110"/>
      <c r="Z78" s="62">
        <v>0</v>
      </c>
      <c r="AA78" s="87"/>
      <c r="AB78" s="110"/>
      <c r="AC78" s="62">
        <v>0</v>
      </c>
      <c r="AD78" s="87"/>
      <c r="AE78" s="110"/>
      <c r="AF78" s="116">
        <f>SUM(T78:AC78)</f>
        <v>0</v>
      </c>
      <c r="AG78" s="108"/>
      <c r="AH78" s="9"/>
      <c r="AI78" s="110"/>
      <c r="AJ78" s="62">
        <v>0</v>
      </c>
      <c r="AK78" s="87"/>
      <c r="AL78" s="110"/>
      <c r="AM78" s="62">
        <v>0</v>
      </c>
      <c r="AN78" s="87"/>
      <c r="AO78" s="110"/>
      <c r="AP78" s="62">
        <v>0</v>
      </c>
      <c r="AQ78" s="87"/>
      <c r="AR78" s="110"/>
      <c r="AS78" s="62">
        <v>0</v>
      </c>
      <c r="AT78" s="87"/>
      <c r="AU78" s="110"/>
      <c r="AV78" s="116">
        <f>SUM(AJ78:AS78)</f>
        <v>0</v>
      </c>
      <c r="AW78" s="108"/>
      <c r="AX78" s="9"/>
      <c r="AY78" s="110"/>
      <c r="AZ78" s="62">
        <v>0</v>
      </c>
      <c r="BA78" s="87"/>
      <c r="BB78" s="110"/>
      <c r="BC78" s="62">
        <v>0</v>
      </c>
      <c r="BD78" s="87"/>
      <c r="BE78" s="110"/>
      <c r="BF78" s="62">
        <v>0</v>
      </c>
      <c r="BG78" s="87"/>
      <c r="BH78" s="110"/>
      <c r="BI78" s="62">
        <v>0</v>
      </c>
      <c r="BJ78" s="87"/>
      <c r="BK78" s="110"/>
      <c r="BL78" s="116">
        <f>SUM(AZ78:BI78)</f>
        <v>0</v>
      </c>
      <c r="BM78" s="108"/>
      <c r="BN78" s="70"/>
      <c r="BO78" s="110"/>
      <c r="BP78" s="62">
        <f>+D78+T78+AJ78+AZ78</f>
        <v>0</v>
      </c>
      <c r="BQ78" s="87"/>
      <c r="BR78" s="110"/>
      <c r="BS78" s="62">
        <f>+G78+W78+AM78+BC78</f>
        <v>0</v>
      </c>
      <c r="BT78" s="87"/>
      <c r="BU78" s="110"/>
      <c r="BV78" s="62">
        <f>+J78+Z78+AP78+BF78</f>
        <v>0</v>
      </c>
      <c r="BW78" s="87"/>
      <c r="BX78" s="110"/>
      <c r="BY78" s="62">
        <f>+M78+AC78+AS78+BI78</f>
        <v>0</v>
      </c>
      <c r="BZ78" s="87"/>
      <c r="CA78" s="110"/>
      <c r="CB78" s="116">
        <f>SUM(BP78:BY78)</f>
        <v>0</v>
      </c>
      <c r="CC78" s="108"/>
      <c r="CD78" s="70"/>
    </row>
    <row r="79" spans="1:82" x14ac:dyDescent="0.15">
      <c r="A79" s="87"/>
      <c r="B79" s="9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18"/>
      <c r="Q79" s="108"/>
      <c r="R79" s="9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18"/>
      <c r="AG79" s="108"/>
      <c r="AH79" s="9"/>
      <c r="AI79" s="108"/>
      <c r="AJ79" s="108"/>
      <c r="AK79" s="108"/>
      <c r="AL79" s="108"/>
      <c r="AM79" s="108"/>
      <c r="AN79" s="108"/>
      <c r="AO79" s="108"/>
      <c r="AP79" s="108"/>
      <c r="AQ79" s="108"/>
      <c r="AR79" s="108"/>
      <c r="AS79" s="108"/>
      <c r="AT79" s="108"/>
      <c r="AU79" s="108"/>
      <c r="AV79" s="118"/>
      <c r="AW79" s="108"/>
      <c r="AX79" s="9"/>
      <c r="AY79" s="108"/>
      <c r="AZ79" s="108"/>
      <c r="BA79" s="108"/>
      <c r="BB79" s="108"/>
      <c r="BC79" s="108"/>
      <c r="BD79" s="108"/>
      <c r="BE79" s="108"/>
      <c r="BF79" s="108"/>
      <c r="BG79" s="108"/>
      <c r="BH79" s="108"/>
      <c r="BI79" s="108"/>
      <c r="BJ79" s="108"/>
      <c r="BK79" s="108"/>
      <c r="BL79" s="118"/>
      <c r="BM79" s="108"/>
      <c r="BN79" s="70"/>
      <c r="BO79" s="108"/>
      <c r="BP79" s="108"/>
      <c r="BQ79" s="108"/>
      <c r="BR79" s="108"/>
      <c r="BS79" s="108"/>
      <c r="BT79" s="108"/>
      <c r="BU79" s="108"/>
      <c r="BV79" s="108"/>
      <c r="BW79" s="108"/>
      <c r="BX79" s="108"/>
      <c r="BY79" s="108"/>
      <c r="BZ79" s="108"/>
      <c r="CA79" s="108"/>
      <c r="CB79" s="118"/>
      <c r="CC79" s="108"/>
      <c r="CD79" s="70"/>
    </row>
    <row r="80" spans="1:82" x14ac:dyDescent="0.15">
      <c r="A80" s="87"/>
      <c r="B80" s="9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  <c r="AE80" s="108"/>
      <c r="AF80" s="108"/>
      <c r="AG80" s="108"/>
      <c r="AI80" s="108"/>
      <c r="AJ80" s="108"/>
      <c r="AK80" s="108"/>
      <c r="AL80" s="108"/>
      <c r="AM80" s="108"/>
      <c r="AN80" s="108"/>
      <c r="AO80" s="108"/>
      <c r="AP80" s="108"/>
      <c r="AQ80" s="108"/>
      <c r="AR80" s="108"/>
      <c r="AS80" s="108"/>
      <c r="AT80" s="108"/>
      <c r="AU80" s="108"/>
      <c r="AV80" s="108"/>
      <c r="AW80" s="108"/>
      <c r="AY80" s="108"/>
      <c r="AZ80" s="108"/>
      <c r="BA80" s="108"/>
      <c r="BB80" s="108"/>
      <c r="BC80" s="108"/>
      <c r="BD80" s="108"/>
      <c r="BE80" s="108"/>
      <c r="BF80" s="108"/>
      <c r="BG80" s="108"/>
      <c r="BH80" s="108"/>
      <c r="BI80" s="108"/>
      <c r="BJ80" s="108"/>
      <c r="BK80" s="108"/>
      <c r="BL80" s="108"/>
      <c r="BM80" s="108"/>
      <c r="BO80" s="108"/>
      <c r="BP80" s="108"/>
      <c r="BQ80" s="108"/>
      <c r="BR80" s="108"/>
      <c r="BS80" s="108"/>
      <c r="BT80" s="108"/>
      <c r="BU80" s="108"/>
      <c r="BV80" s="108"/>
      <c r="BW80" s="108"/>
      <c r="BX80" s="108"/>
      <c r="BY80" s="108"/>
      <c r="BZ80" s="108"/>
      <c r="CA80" s="108"/>
      <c r="CB80" s="108"/>
      <c r="CC80" s="108"/>
    </row>
    <row r="81" spans="67:81" x14ac:dyDescent="0.15"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</row>
    <row r="82" spans="67:81" x14ac:dyDescent="0.15"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</row>
    <row r="83" spans="67:81" x14ac:dyDescent="0.15"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</row>
  </sheetData>
  <mergeCells count="11">
    <mergeCell ref="T2:AF2"/>
    <mergeCell ref="A2:A6"/>
    <mergeCell ref="D4:P4"/>
    <mergeCell ref="D2:P2"/>
    <mergeCell ref="AJ2:AV2"/>
    <mergeCell ref="T4:AF4"/>
    <mergeCell ref="BP4:CB4"/>
    <mergeCell ref="BP2:CB2"/>
    <mergeCell ref="AZ2:BL2"/>
    <mergeCell ref="AZ4:BL4"/>
    <mergeCell ref="AJ4:AV4"/>
  </mergeCells>
  <phoneticPr fontId="0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51" fitToWidth="3" orientation="landscape"/>
  <headerFooter>
    <oddHeader>&amp;L&amp;F&amp;R&amp;A</oddHeader>
    <oddFooter>&amp;CPágina &amp;P de &amp;N</oddFooter>
  </headerFooter>
  <colBreaks count="2" manualBreakCount="2">
    <brk id="34" max="1048575" man="1"/>
    <brk id="6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8">
    <tabColor indexed="50"/>
  </sheetPr>
  <dimension ref="A1:CD83"/>
  <sheetViews>
    <sheetView zoomScale="75" zoomScaleNormal="85" zoomScaleSheetLayoutView="55" zoomScalePageLayoutView="85" workbookViewId="0">
      <pane xSplit="2" ySplit="10" topLeftCell="C11" activePane="bottomRight" state="frozen"/>
      <selection activeCell="W79" sqref="W79"/>
      <selection pane="topRight" activeCell="W79" sqref="W79"/>
      <selection pane="bottomLeft" activeCell="W79" sqref="W79"/>
      <selection pane="bottomRight" activeCell="M16" sqref="M16"/>
    </sheetView>
  </sheetViews>
  <sheetFormatPr baseColWidth="10" defaultColWidth="9.1640625" defaultRowHeight="13" outlineLevelCol="2" x14ac:dyDescent="0.15"/>
  <cols>
    <col min="1" max="1" width="35.5" customWidth="1"/>
    <col min="2" max="2" width="2.5" customWidth="1" outlineLevel="1"/>
    <col min="3" max="3" width="2.6640625" customWidth="1" outlineLevel="2"/>
    <col min="4" max="4" width="16.33203125" customWidth="1" outlineLevel="2"/>
    <col min="5" max="6" width="2.6640625" customWidth="1" outlineLevel="2"/>
    <col min="7" max="7" width="16.33203125" customWidth="1" outlineLevel="2"/>
    <col min="8" max="9" width="2.6640625" customWidth="1" outlineLevel="2"/>
    <col min="10" max="10" width="16.33203125" customWidth="1" outlineLevel="2"/>
    <col min="11" max="12" width="2.6640625" customWidth="1" outlineLevel="2"/>
    <col min="13" max="13" width="17" bestFit="1" customWidth="1" outlineLevel="2"/>
    <col min="14" max="14" width="2.6640625" customWidth="1" outlineLevel="2"/>
    <col min="15" max="15" width="2.6640625" customWidth="1" outlineLevel="1"/>
    <col min="16" max="16" width="21.5" customWidth="1" outlineLevel="1"/>
    <col min="17" max="17" width="2.6640625" customWidth="1" outlineLevel="1"/>
    <col min="18" max="18" width="2.5" customWidth="1" outlineLevel="1"/>
    <col min="19" max="19" width="2.6640625" customWidth="1" outlineLevel="2"/>
    <col min="20" max="20" width="16.33203125" customWidth="1" outlineLevel="2"/>
    <col min="21" max="22" width="2.6640625" customWidth="1" outlineLevel="2"/>
    <col min="23" max="23" width="16.33203125" customWidth="1" outlineLevel="2"/>
    <col min="24" max="25" width="2.6640625" customWidth="1" outlineLevel="2"/>
    <col min="26" max="26" width="16.33203125" customWidth="1" outlineLevel="2"/>
    <col min="27" max="28" width="2.6640625" customWidth="1" outlineLevel="2"/>
    <col min="29" max="29" width="16.33203125" customWidth="1" outlineLevel="2"/>
    <col min="30" max="30" width="2.6640625" customWidth="1" outlineLevel="2"/>
    <col min="31" max="31" width="2.6640625" customWidth="1" outlineLevel="1"/>
    <col min="32" max="32" width="21.5" customWidth="1" outlineLevel="1"/>
    <col min="33" max="33" width="2.6640625" customWidth="1" outlineLevel="1"/>
    <col min="34" max="34" width="2.5" customWidth="1" outlineLevel="1"/>
    <col min="35" max="35" width="2.6640625" customWidth="1" outlineLevel="2"/>
    <col min="36" max="36" width="16.33203125" customWidth="1" outlineLevel="2"/>
    <col min="37" max="38" width="2.6640625" customWidth="1" outlineLevel="2"/>
    <col min="39" max="39" width="16.33203125" customWidth="1" outlineLevel="2"/>
    <col min="40" max="41" width="2.6640625" customWidth="1" outlineLevel="2"/>
    <col min="42" max="42" width="16.33203125" customWidth="1" outlineLevel="2"/>
    <col min="43" max="44" width="2.6640625" customWidth="1" outlineLevel="2"/>
    <col min="45" max="45" width="16.33203125" customWidth="1" outlineLevel="2"/>
    <col min="46" max="46" width="2.6640625" customWidth="1" outlineLevel="2"/>
    <col min="47" max="47" width="2.6640625" customWidth="1" outlineLevel="1"/>
    <col min="48" max="48" width="21.5" customWidth="1" outlineLevel="1"/>
    <col min="49" max="49" width="2.6640625" customWidth="1" outlineLevel="1"/>
    <col min="50" max="50" width="2.5" customWidth="1" outlineLevel="1"/>
    <col min="51" max="51" width="2.6640625" customWidth="1" outlineLevel="2"/>
    <col min="52" max="52" width="16.33203125" customWidth="1" outlineLevel="2"/>
    <col min="53" max="54" width="2.6640625" customWidth="1" outlineLevel="2"/>
    <col min="55" max="55" width="16.33203125" customWidth="1" outlineLevel="2"/>
    <col min="56" max="57" width="2.6640625" customWidth="1" outlineLevel="2"/>
    <col min="58" max="58" width="16.33203125" customWidth="1" outlineLevel="2"/>
    <col min="59" max="60" width="2.6640625" customWidth="1" outlineLevel="2"/>
    <col min="61" max="61" width="16.33203125" customWidth="1" outlineLevel="2"/>
    <col min="62" max="62" width="2.6640625" customWidth="1" outlineLevel="2"/>
    <col min="63" max="63" width="2.6640625" customWidth="1" outlineLevel="1"/>
    <col min="64" max="64" width="21.5" customWidth="1" outlineLevel="1"/>
    <col min="65" max="65" width="2.6640625" customWidth="1" outlineLevel="1"/>
    <col min="66" max="66" width="2.5" style="78" customWidth="1" outlineLevel="1"/>
    <col min="67" max="67" width="2.6640625" style="78" customWidth="1" outlineLevel="2"/>
    <col min="68" max="68" width="16.33203125" style="78" customWidth="1" outlineLevel="2"/>
    <col min="69" max="70" width="2.6640625" style="78" customWidth="1" outlineLevel="2"/>
    <col min="71" max="71" width="16.33203125" style="78" customWidth="1" outlineLevel="2"/>
    <col min="72" max="73" width="2.6640625" style="78" customWidth="1" outlineLevel="2"/>
    <col min="74" max="74" width="16.33203125" style="78" customWidth="1" outlineLevel="2"/>
    <col min="75" max="76" width="2.6640625" style="78" customWidth="1" outlineLevel="2"/>
    <col min="77" max="77" width="16.33203125" style="78" customWidth="1" outlineLevel="2"/>
    <col min="78" max="78" width="2.6640625" style="78" customWidth="1" outlineLevel="2"/>
    <col min="79" max="79" width="2.6640625" style="78" customWidth="1" outlineLevel="1"/>
    <col min="80" max="80" width="21.5" style="78" customWidth="1"/>
    <col min="81" max="81" width="2.6640625" style="78" customWidth="1"/>
    <col min="82" max="82" width="2.5" style="78" customWidth="1"/>
  </cols>
  <sheetData>
    <row r="1" spans="1:82" ht="16" x14ac:dyDescent="0.2">
      <c r="A1" s="129"/>
      <c r="B1" s="9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9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9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9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70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70"/>
    </row>
    <row r="2" spans="1:82" ht="15.75" customHeight="1" x14ac:dyDescent="0.2">
      <c r="A2" s="325" t="s">
        <v>48</v>
      </c>
      <c r="B2" s="9"/>
      <c r="C2" s="41"/>
      <c r="D2" s="326" t="s">
        <v>31</v>
      </c>
      <c r="E2" s="326"/>
      <c r="F2" s="326"/>
      <c r="G2" s="326"/>
      <c r="H2" s="326"/>
      <c r="I2" s="326"/>
      <c r="J2" s="326"/>
      <c r="K2" s="326"/>
      <c r="L2" s="326"/>
      <c r="M2" s="326"/>
      <c r="N2" s="326"/>
      <c r="O2" s="326"/>
      <c r="P2" s="326"/>
      <c r="Q2" s="41"/>
      <c r="R2" s="9"/>
      <c r="S2" s="2"/>
      <c r="T2" s="327" t="s">
        <v>34</v>
      </c>
      <c r="U2" s="327"/>
      <c r="V2" s="327"/>
      <c r="W2" s="327"/>
      <c r="X2" s="327"/>
      <c r="Y2" s="327"/>
      <c r="Z2" s="327"/>
      <c r="AA2" s="327"/>
      <c r="AB2" s="327"/>
      <c r="AC2" s="327"/>
      <c r="AD2" s="327"/>
      <c r="AE2" s="327"/>
      <c r="AF2" s="327"/>
      <c r="AG2" s="2"/>
      <c r="AH2" s="9"/>
      <c r="AI2" s="41"/>
      <c r="AJ2" s="326" t="s">
        <v>35</v>
      </c>
      <c r="AK2" s="326"/>
      <c r="AL2" s="326"/>
      <c r="AM2" s="326"/>
      <c r="AN2" s="326"/>
      <c r="AO2" s="326"/>
      <c r="AP2" s="326"/>
      <c r="AQ2" s="326"/>
      <c r="AR2" s="326"/>
      <c r="AS2" s="326"/>
      <c r="AT2" s="326"/>
      <c r="AU2" s="326"/>
      <c r="AV2" s="326"/>
      <c r="AW2" s="41"/>
      <c r="AX2" s="9"/>
      <c r="AY2" s="2"/>
      <c r="AZ2" s="327" t="s">
        <v>36</v>
      </c>
      <c r="BA2" s="327"/>
      <c r="BB2" s="327"/>
      <c r="BC2" s="327"/>
      <c r="BD2" s="327"/>
      <c r="BE2" s="327"/>
      <c r="BF2" s="327"/>
      <c r="BG2" s="327"/>
      <c r="BH2" s="327"/>
      <c r="BI2" s="327"/>
      <c r="BJ2" s="327"/>
      <c r="BK2" s="327"/>
      <c r="BL2" s="327"/>
      <c r="BM2" s="2"/>
      <c r="BN2" s="70"/>
      <c r="BO2" s="41"/>
      <c r="BP2" s="326" t="s">
        <v>50</v>
      </c>
      <c r="BQ2" s="326"/>
      <c r="BR2" s="326"/>
      <c r="BS2" s="326"/>
      <c r="BT2" s="326"/>
      <c r="BU2" s="326"/>
      <c r="BV2" s="326"/>
      <c r="BW2" s="326"/>
      <c r="BX2" s="326"/>
      <c r="BY2" s="326"/>
      <c r="BZ2" s="326"/>
      <c r="CA2" s="326"/>
      <c r="CB2" s="326"/>
      <c r="CC2" s="41"/>
      <c r="CD2" s="70"/>
    </row>
    <row r="3" spans="1:82" ht="15.75" customHeight="1" x14ac:dyDescent="0.15">
      <c r="A3" s="325"/>
      <c r="B3" s="9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9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9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9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70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70"/>
    </row>
    <row r="4" spans="1:82" ht="14.25" customHeight="1" x14ac:dyDescent="0.15">
      <c r="A4" s="325"/>
      <c r="B4" s="9"/>
      <c r="C4" s="41"/>
      <c r="D4" s="318" t="str">
        <f>+Definición!C4</f>
        <v>TRIPMATE</v>
      </c>
      <c r="E4" s="318"/>
      <c r="F4" s="318"/>
      <c r="G4" s="318"/>
      <c r="H4" s="318"/>
      <c r="I4" s="318"/>
      <c r="J4" s="318"/>
      <c r="K4" s="318"/>
      <c r="L4" s="318"/>
      <c r="M4" s="318"/>
      <c r="N4" s="318"/>
      <c r="O4" s="318"/>
      <c r="P4" s="318"/>
      <c r="Q4" s="41"/>
      <c r="R4" s="9"/>
      <c r="S4" s="2"/>
      <c r="T4" s="318" t="str">
        <f>+Definición!C11</f>
        <v>[Nombre ]</v>
      </c>
      <c r="U4" s="318"/>
      <c r="V4" s="318"/>
      <c r="W4" s="318"/>
      <c r="X4" s="318"/>
      <c r="Y4" s="318"/>
      <c r="Z4" s="318"/>
      <c r="AA4" s="318"/>
      <c r="AB4" s="318"/>
      <c r="AC4" s="318"/>
      <c r="AD4" s="318"/>
      <c r="AE4" s="318"/>
      <c r="AF4" s="318"/>
      <c r="AG4" s="2"/>
      <c r="AH4" s="9"/>
      <c r="AI4" s="41"/>
      <c r="AJ4" s="318" t="str">
        <f>+Definición!C18</f>
        <v>[Nombre ]</v>
      </c>
      <c r="AK4" s="318"/>
      <c r="AL4" s="318"/>
      <c r="AM4" s="318"/>
      <c r="AN4" s="318"/>
      <c r="AO4" s="318"/>
      <c r="AP4" s="318"/>
      <c r="AQ4" s="318"/>
      <c r="AR4" s="318"/>
      <c r="AS4" s="318"/>
      <c r="AT4" s="318"/>
      <c r="AU4" s="318"/>
      <c r="AV4" s="318"/>
      <c r="AW4" s="41"/>
      <c r="AX4" s="9"/>
      <c r="AY4" s="2"/>
      <c r="AZ4" s="318" t="str">
        <f>+Definición!C25</f>
        <v>[Nombre ]</v>
      </c>
      <c r="BA4" s="318"/>
      <c r="BB4" s="318"/>
      <c r="BC4" s="318"/>
      <c r="BD4" s="318"/>
      <c r="BE4" s="318"/>
      <c r="BF4" s="318"/>
      <c r="BG4" s="318"/>
      <c r="BH4" s="318"/>
      <c r="BI4" s="318"/>
      <c r="BJ4" s="318"/>
      <c r="BK4" s="318"/>
      <c r="BL4" s="318"/>
      <c r="BM4" s="2"/>
      <c r="BN4" s="70"/>
      <c r="BO4" s="41"/>
      <c r="BP4" s="318" t="str">
        <f>+Definición!C2</f>
        <v>TRIPMATE</v>
      </c>
      <c r="BQ4" s="318"/>
      <c r="BR4" s="318"/>
      <c r="BS4" s="318"/>
      <c r="BT4" s="318"/>
      <c r="BU4" s="318"/>
      <c r="BV4" s="318"/>
      <c r="BW4" s="318"/>
      <c r="BX4" s="318"/>
      <c r="BY4" s="318"/>
      <c r="BZ4" s="318"/>
      <c r="CA4" s="318"/>
      <c r="CB4" s="318"/>
      <c r="CC4" s="41"/>
      <c r="CD4" s="70"/>
    </row>
    <row r="5" spans="1:82" ht="12.75" customHeight="1" x14ac:dyDescent="0.15">
      <c r="A5" s="325"/>
      <c r="B5" s="9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9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9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9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70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70"/>
    </row>
    <row r="6" spans="1:82" ht="16" x14ac:dyDescent="0.2">
      <c r="A6" s="325"/>
      <c r="B6" s="9"/>
      <c r="C6" s="42"/>
      <c r="D6" s="83" t="s">
        <v>0</v>
      </c>
      <c r="E6" s="83"/>
      <c r="F6" s="83"/>
      <c r="G6" s="83" t="s">
        <v>1</v>
      </c>
      <c r="H6" s="83"/>
      <c r="I6" s="83"/>
      <c r="J6" s="83" t="s">
        <v>2</v>
      </c>
      <c r="K6" s="83"/>
      <c r="L6" s="83"/>
      <c r="M6" s="83" t="s">
        <v>3</v>
      </c>
      <c r="N6" s="84"/>
      <c r="O6" s="83"/>
      <c r="P6" s="83" t="s">
        <v>39</v>
      </c>
      <c r="Q6" s="42"/>
      <c r="R6" s="9"/>
      <c r="S6" s="48"/>
      <c r="T6" s="85" t="s">
        <v>0</v>
      </c>
      <c r="U6" s="85"/>
      <c r="V6" s="85"/>
      <c r="W6" s="85" t="s">
        <v>1</v>
      </c>
      <c r="X6" s="85"/>
      <c r="Y6" s="85"/>
      <c r="Z6" s="85" t="s">
        <v>2</v>
      </c>
      <c r="AA6" s="85"/>
      <c r="AB6" s="85"/>
      <c r="AC6" s="85" t="s">
        <v>3</v>
      </c>
      <c r="AD6" s="48"/>
      <c r="AE6" s="85"/>
      <c r="AF6" s="85" t="s">
        <v>39</v>
      </c>
      <c r="AG6" s="48"/>
      <c r="AH6" s="9"/>
      <c r="AI6" s="42"/>
      <c r="AJ6" s="83" t="s">
        <v>0</v>
      </c>
      <c r="AK6" s="83"/>
      <c r="AL6" s="83"/>
      <c r="AM6" s="83" t="s">
        <v>1</v>
      </c>
      <c r="AN6" s="83"/>
      <c r="AO6" s="83"/>
      <c r="AP6" s="83" t="s">
        <v>2</v>
      </c>
      <c r="AQ6" s="83"/>
      <c r="AR6" s="83"/>
      <c r="AS6" s="83" t="s">
        <v>3</v>
      </c>
      <c r="AT6" s="84"/>
      <c r="AU6" s="83"/>
      <c r="AV6" s="83" t="s">
        <v>39</v>
      </c>
      <c r="AW6" s="42"/>
      <c r="AX6" s="9"/>
      <c r="AY6" s="48"/>
      <c r="AZ6" s="85" t="s">
        <v>0</v>
      </c>
      <c r="BA6" s="85"/>
      <c r="BB6" s="85"/>
      <c r="BC6" s="85" t="s">
        <v>1</v>
      </c>
      <c r="BD6" s="85"/>
      <c r="BE6" s="85"/>
      <c r="BF6" s="85" t="s">
        <v>2</v>
      </c>
      <c r="BG6" s="85"/>
      <c r="BH6" s="85"/>
      <c r="BI6" s="85" t="s">
        <v>3</v>
      </c>
      <c r="BJ6" s="48"/>
      <c r="BK6" s="85"/>
      <c r="BL6" s="85" t="s">
        <v>39</v>
      </c>
      <c r="BM6" s="48"/>
      <c r="BN6" s="70"/>
      <c r="BO6" s="42"/>
      <c r="BP6" s="83" t="s">
        <v>0</v>
      </c>
      <c r="BQ6" s="83"/>
      <c r="BR6" s="83"/>
      <c r="BS6" s="83" t="s">
        <v>1</v>
      </c>
      <c r="BT6" s="83"/>
      <c r="BU6" s="83"/>
      <c r="BV6" s="83" t="s">
        <v>2</v>
      </c>
      <c r="BW6" s="83"/>
      <c r="BX6" s="83"/>
      <c r="BY6" s="83" t="s">
        <v>3</v>
      </c>
      <c r="BZ6" s="84"/>
      <c r="CA6" s="83"/>
      <c r="CB6" s="83" t="s">
        <v>39</v>
      </c>
      <c r="CC6" s="42"/>
      <c r="CD6" s="70"/>
    </row>
    <row r="7" spans="1:82" x14ac:dyDescent="0.15">
      <c r="A7" s="130"/>
      <c r="B7" s="9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9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9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9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70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70"/>
    </row>
    <row r="8" spans="1:82" x14ac:dyDescent="0.15">
      <c r="A8" s="1"/>
      <c r="B8" s="9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9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9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9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70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70"/>
    </row>
    <row r="9" spans="1:82" s="146" customFormat="1" ht="30" customHeight="1" x14ac:dyDescent="0.15">
      <c r="A9" s="148" t="s">
        <v>56</v>
      </c>
      <c r="B9" s="136"/>
      <c r="C9" s="149"/>
      <c r="D9" s="150">
        <f>SUM(D11:D80)/2</f>
        <v>0</v>
      </c>
      <c r="E9" s="151"/>
      <c r="F9" s="152"/>
      <c r="G9" s="150">
        <f>SUM(G11:G80)/2</f>
        <v>1706580</v>
      </c>
      <c r="H9" s="151"/>
      <c r="I9" s="152"/>
      <c r="J9" s="150">
        <f>SUM(J11:J80)/2</f>
        <v>4418020</v>
      </c>
      <c r="K9" s="151"/>
      <c r="L9" s="152"/>
      <c r="M9" s="150">
        <f>SUM(M11:M80)/2</f>
        <v>12422550</v>
      </c>
      <c r="N9" s="153"/>
      <c r="O9" s="152"/>
      <c r="P9" s="156">
        <f>SUM(P11:P80)/2</f>
        <v>18547150</v>
      </c>
      <c r="Q9" s="153"/>
      <c r="R9" s="136"/>
      <c r="S9" s="149"/>
      <c r="T9" s="150">
        <f>SUM(T11:T80)/2</f>
        <v>0</v>
      </c>
      <c r="U9" s="151"/>
      <c r="V9" s="152"/>
      <c r="W9" s="150">
        <f>SUM(W11:W80)/2</f>
        <v>0</v>
      </c>
      <c r="X9" s="151"/>
      <c r="Y9" s="152"/>
      <c r="Z9" s="150">
        <f>SUM(Z11:Z80)/2</f>
        <v>0</v>
      </c>
      <c r="AA9" s="151"/>
      <c r="AB9" s="152"/>
      <c r="AC9" s="150">
        <f>SUM(AC11:AC80)/2</f>
        <v>0</v>
      </c>
      <c r="AD9" s="153"/>
      <c r="AE9" s="152"/>
      <c r="AF9" s="156">
        <f>SUM(AF11:AF80)/2</f>
        <v>0</v>
      </c>
      <c r="AG9" s="153"/>
      <c r="AH9" s="136"/>
      <c r="AI9" s="149"/>
      <c r="AJ9" s="150">
        <f>SUM(AJ11:AJ80)/2</f>
        <v>0</v>
      </c>
      <c r="AK9" s="151"/>
      <c r="AL9" s="152"/>
      <c r="AM9" s="150">
        <f>SUM(AM11:AM80)/2</f>
        <v>0</v>
      </c>
      <c r="AN9" s="151"/>
      <c r="AO9" s="152"/>
      <c r="AP9" s="150">
        <f>SUM(AP11:AP80)/2</f>
        <v>0</v>
      </c>
      <c r="AQ9" s="151"/>
      <c r="AR9" s="152"/>
      <c r="AS9" s="150">
        <f>SUM(AS11:AS80)/2</f>
        <v>0</v>
      </c>
      <c r="AT9" s="153"/>
      <c r="AU9" s="152"/>
      <c r="AV9" s="156">
        <f>SUM(AV11:AV80)/2</f>
        <v>0</v>
      </c>
      <c r="AW9" s="153"/>
      <c r="AX9" s="136"/>
      <c r="AY9" s="149"/>
      <c r="AZ9" s="150">
        <f>SUM(AZ11:AZ80)/2</f>
        <v>0</v>
      </c>
      <c r="BA9" s="151"/>
      <c r="BB9" s="152"/>
      <c r="BC9" s="150">
        <f>SUM(BC11:BC80)/2</f>
        <v>0</v>
      </c>
      <c r="BD9" s="151"/>
      <c r="BE9" s="152"/>
      <c r="BF9" s="150">
        <f>SUM(BF11:BF80)/2</f>
        <v>0</v>
      </c>
      <c r="BG9" s="151"/>
      <c r="BH9" s="152"/>
      <c r="BI9" s="150">
        <f>SUM(BI11:BI80)/2</f>
        <v>0</v>
      </c>
      <c r="BJ9" s="153"/>
      <c r="BK9" s="152"/>
      <c r="BL9" s="156">
        <f>SUM(BL11:BL80)/2</f>
        <v>0</v>
      </c>
      <c r="BM9" s="153"/>
      <c r="BN9" s="143"/>
      <c r="BO9" s="149"/>
      <c r="BP9" s="150">
        <f>SUM(BP11:BP80)/2</f>
        <v>0</v>
      </c>
      <c r="BQ9" s="151"/>
      <c r="BR9" s="152"/>
      <c r="BS9" s="150">
        <f>SUM(BS11:BS80)/2</f>
        <v>1706580</v>
      </c>
      <c r="BT9" s="151"/>
      <c r="BU9" s="152"/>
      <c r="BV9" s="150">
        <f>SUM(BV11:BV80)/2</f>
        <v>4418020</v>
      </c>
      <c r="BW9" s="151"/>
      <c r="BX9" s="152"/>
      <c r="BY9" s="150">
        <f>SUM(BY11:BY80)/2</f>
        <v>12422550</v>
      </c>
      <c r="BZ9" s="153"/>
      <c r="CA9" s="152"/>
      <c r="CB9" s="156">
        <f>SUM(CB11:CB80)/2</f>
        <v>18547150</v>
      </c>
      <c r="CC9" s="153"/>
      <c r="CD9" s="143"/>
    </row>
    <row r="10" spans="1:82" ht="14" thickBot="1" x14ac:dyDescent="0.2">
      <c r="A10" s="147"/>
      <c r="B10" s="9"/>
      <c r="C10" s="154"/>
      <c r="D10" s="155"/>
      <c r="E10" s="154"/>
      <c r="F10" s="154"/>
      <c r="G10" s="155"/>
      <c r="H10" s="154"/>
      <c r="I10" s="154"/>
      <c r="J10" s="155"/>
      <c r="K10" s="154"/>
      <c r="L10" s="154"/>
      <c r="M10" s="155"/>
      <c r="N10" s="154"/>
      <c r="O10" s="154"/>
      <c r="P10" s="155"/>
      <c r="Q10" s="154"/>
      <c r="R10" s="133"/>
      <c r="S10" s="154"/>
      <c r="T10" s="155"/>
      <c r="U10" s="154"/>
      <c r="V10" s="154"/>
      <c r="W10" s="155"/>
      <c r="X10" s="154"/>
      <c r="Y10" s="154"/>
      <c r="Z10" s="155"/>
      <c r="AA10" s="154"/>
      <c r="AB10" s="154"/>
      <c r="AC10" s="155"/>
      <c r="AD10" s="154"/>
      <c r="AE10" s="154"/>
      <c r="AF10" s="155"/>
      <c r="AG10" s="154"/>
      <c r="AH10" s="133"/>
      <c r="AI10" s="154"/>
      <c r="AJ10" s="155"/>
      <c r="AK10" s="154"/>
      <c r="AL10" s="154"/>
      <c r="AM10" s="155"/>
      <c r="AN10" s="154"/>
      <c r="AO10" s="154"/>
      <c r="AP10" s="155"/>
      <c r="AQ10" s="154"/>
      <c r="AR10" s="154"/>
      <c r="AS10" s="155"/>
      <c r="AT10" s="154"/>
      <c r="AU10" s="154"/>
      <c r="AV10" s="155"/>
      <c r="AW10" s="154"/>
      <c r="AX10" s="133"/>
      <c r="AY10" s="154"/>
      <c r="AZ10" s="155"/>
      <c r="BA10" s="154"/>
      <c r="BB10" s="154"/>
      <c r="BC10" s="155"/>
      <c r="BD10" s="154"/>
      <c r="BE10" s="154"/>
      <c r="BF10" s="155"/>
      <c r="BG10" s="154"/>
      <c r="BH10" s="154"/>
      <c r="BI10" s="155"/>
      <c r="BJ10" s="154"/>
      <c r="BK10" s="154"/>
      <c r="BL10" s="155"/>
      <c r="BM10" s="154"/>
      <c r="BN10" s="134"/>
      <c r="BO10" s="154"/>
      <c r="BP10" s="155"/>
      <c r="BQ10" s="154"/>
      <c r="BR10" s="154"/>
      <c r="BS10" s="155"/>
      <c r="BT10" s="154"/>
      <c r="BU10" s="154"/>
      <c r="BV10" s="155"/>
      <c r="BW10" s="154"/>
      <c r="BX10" s="154"/>
      <c r="BY10" s="155"/>
      <c r="BZ10" s="154"/>
      <c r="CA10" s="154"/>
      <c r="CB10" s="155"/>
      <c r="CC10" s="154"/>
      <c r="CD10" s="70"/>
    </row>
    <row r="11" spans="1:82" ht="14" thickTop="1" x14ac:dyDescent="0.15">
      <c r="A11" s="1"/>
      <c r="B11" s="9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9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9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9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70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70"/>
    </row>
    <row r="12" spans="1:82" ht="16" x14ac:dyDescent="0.2">
      <c r="A12" s="127" t="s">
        <v>51</v>
      </c>
      <c r="B12" s="9"/>
      <c r="C12" s="49"/>
      <c r="D12" s="63">
        <f>SUM(D14:D33)</f>
        <v>0</v>
      </c>
      <c r="E12" s="64"/>
      <c r="F12" s="65"/>
      <c r="G12" s="63">
        <f>SUM(G14:G33)</f>
        <v>1706580</v>
      </c>
      <c r="H12" s="64"/>
      <c r="I12" s="65"/>
      <c r="J12" s="63">
        <f>SUM(J14:J33)</f>
        <v>4318020</v>
      </c>
      <c r="K12" s="64"/>
      <c r="L12" s="65"/>
      <c r="M12" s="63">
        <f>SUM(M14:M33)</f>
        <v>12272550</v>
      </c>
      <c r="N12" s="48"/>
      <c r="O12" s="50"/>
      <c r="P12" s="67">
        <f>SUM(P14:P33)</f>
        <v>18297150</v>
      </c>
      <c r="Q12" s="66"/>
      <c r="R12" s="9"/>
      <c r="S12" s="49"/>
      <c r="T12" s="63">
        <f>SUM(T14:T33)</f>
        <v>0</v>
      </c>
      <c r="U12" s="64"/>
      <c r="V12" s="65"/>
      <c r="W12" s="63">
        <f>SUM(W14:W33)</f>
        <v>0</v>
      </c>
      <c r="X12" s="64"/>
      <c r="Y12" s="65"/>
      <c r="Z12" s="63">
        <f>SUM(Z14:Z33)</f>
        <v>0</v>
      </c>
      <c r="AA12" s="64"/>
      <c r="AB12" s="65"/>
      <c r="AC12" s="63">
        <f>SUM(AC14:AC33)</f>
        <v>0</v>
      </c>
      <c r="AD12" s="48"/>
      <c r="AE12" s="50"/>
      <c r="AF12" s="67">
        <f>SUM(AF14:AF33)</f>
        <v>0</v>
      </c>
      <c r="AG12" s="66"/>
      <c r="AH12" s="9"/>
      <c r="AI12" s="49"/>
      <c r="AJ12" s="63">
        <f>SUM(AJ14:AJ33)</f>
        <v>0</v>
      </c>
      <c r="AK12" s="64"/>
      <c r="AL12" s="65"/>
      <c r="AM12" s="63">
        <f>SUM(AM14:AM33)</f>
        <v>0</v>
      </c>
      <c r="AN12" s="64"/>
      <c r="AO12" s="65"/>
      <c r="AP12" s="63">
        <f>SUM(AP14:AP33)</f>
        <v>0</v>
      </c>
      <c r="AQ12" s="64"/>
      <c r="AR12" s="65"/>
      <c r="AS12" s="63">
        <f>SUM(AS14:AS33)</f>
        <v>0</v>
      </c>
      <c r="AT12" s="48"/>
      <c r="AU12" s="50"/>
      <c r="AV12" s="67">
        <f>SUM(AV14:AV33)</f>
        <v>0</v>
      </c>
      <c r="AW12" s="66"/>
      <c r="AX12" s="9"/>
      <c r="AY12" s="49"/>
      <c r="AZ12" s="63">
        <f>SUM(AZ14:AZ33)</f>
        <v>0</v>
      </c>
      <c r="BA12" s="64"/>
      <c r="BB12" s="65"/>
      <c r="BC12" s="63">
        <f>SUM(BC14:BC33)</f>
        <v>0</v>
      </c>
      <c r="BD12" s="64"/>
      <c r="BE12" s="65"/>
      <c r="BF12" s="63">
        <f>SUM(BF14:BF33)</f>
        <v>0</v>
      </c>
      <c r="BG12" s="64"/>
      <c r="BH12" s="65"/>
      <c r="BI12" s="63">
        <f>SUM(BI14:BI33)</f>
        <v>0</v>
      </c>
      <c r="BJ12" s="48"/>
      <c r="BK12" s="50"/>
      <c r="BL12" s="67">
        <f>SUM(BL14:BL33)</f>
        <v>0</v>
      </c>
      <c r="BM12" s="66"/>
      <c r="BN12" s="70"/>
      <c r="BO12" s="49"/>
      <c r="BP12" s="63">
        <f>SUM(BP14:BP33)</f>
        <v>0</v>
      </c>
      <c r="BQ12" s="64"/>
      <c r="BR12" s="65"/>
      <c r="BS12" s="63">
        <f>SUM(BS14:BS33)</f>
        <v>1706580</v>
      </c>
      <c r="BT12" s="64"/>
      <c r="BU12" s="65"/>
      <c r="BV12" s="63">
        <f>SUM(BV14:BV33)</f>
        <v>4318020</v>
      </c>
      <c r="BW12" s="64"/>
      <c r="BX12" s="65"/>
      <c r="BY12" s="63">
        <f>SUM(BY14:BY33)</f>
        <v>12272550</v>
      </c>
      <c r="BZ12" s="48"/>
      <c r="CA12" s="50"/>
      <c r="CB12" s="67">
        <f>SUM(CB14:CB33)</f>
        <v>18297150</v>
      </c>
      <c r="CC12" s="66"/>
      <c r="CD12" s="70"/>
    </row>
    <row r="13" spans="1:82" x14ac:dyDescent="0.15">
      <c r="A13" s="47"/>
      <c r="B13" s="9"/>
      <c r="C13" s="48"/>
      <c r="D13" s="51"/>
      <c r="E13" s="48"/>
      <c r="F13" s="48"/>
      <c r="G13" s="51"/>
      <c r="H13" s="48"/>
      <c r="I13" s="48"/>
      <c r="J13" s="51"/>
      <c r="K13" s="48"/>
      <c r="L13" s="48"/>
      <c r="M13" s="51"/>
      <c r="N13" s="48"/>
      <c r="O13" s="48"/>
      <c r="P13" s="51"/>
      <c r="Q13" s="48"/>
      <c r="R13" s="9"/>
      <c r="S13" s="48"/>
      <c r="T13" s="51"/>
      <c r="U13" s="48"/>
      <c r="V13" s="48"/>
      <c r="W13" s="51"/>
      <c r="X13" s="48"/>
      <c r="Y13" s="48"/>
      <c r="Z13" s="51"/>
      <c r="AA13" s="48"/>
      <c r="AB13" s="48"/>
      <c r="AC13" s="51"/>
      <c r="AD13" s="48"/>
      <c r="AE13" s="48"/>
      <c r="AF13" s="51"/>
      <c r="AG13" s="48"/>
      <c r="AH13" s="9"/>
      <c r="AI13" s="48"/>
      <c r="AJ13" s="51"/>
      <c r="AK13" s="48"/>
      <c r="AL13" s="48"/>
      <c r="AM13" s="51"/>
      <c r="AN13" s="48"/>
      <c r="AO13" s="48"/>
      <c r="AP13" s="51"/>
      <c r="AQ13" s="48"/>
      <c r="AR13" s="48"/>
      <c r="AS13" s="51"/>
      <c r="AT13" s="48"/>
      <c r="AU13" s="48"/>
      <c r="AV13" s="51"/>
      <c r="AW13" s="48"/>
      <c r="AX13" s="9"/>
      <c r="AY13" s="48"/>
      <c r="AZ13" s="51"/>
      <c r="BA13" s="48"/>
      <c r="BB13" s="48"/>
      <c r="BC13" s="51"/>
      <c r="BD13" s="48"/>
      <c r="BE13" s="48"/>
      <c r="BF13" s="51"/>
      <c r="BG13" s="48"/>
      <c r="BH13" s="48"/>
      <c r="BI13" s="51"/>
      <c r="BJ13" s="48"/>
      <c r="BK13" s="48"/>
      <c r="BL13" s="51"/>
      <c r="BM13" s="48"/>
      <c r="BN13" s="70"/>
      <c r="BO13" s="48"/>
      <c r="BP13" s="51"/>
      <c r="BQ13" s="48"/>
      <c r="BR13" s="48"/>
      <c r="BS13" s="51"/>
      <c r="BT13" s="48"/>
      <c r="BU13" s="48"/>
      <c r="BV13" s="51"/>
      <c r="BW13" s="48"/>
      <c r="BX13" s="48"/>
      <c r="BY13" s="51"/>
      <c r="BZ13" s="48"/>
      <c r="CA13" s="48"/>
      <c r="CB13" s="51"/>
      <c r="CC13" s="48"/>
      <c r="CD13" s="70"/>
    </row>
    <row r="14" spans="1:82" x14ac:dyDescent="0.15">
      <c r="A14" s="68" t="s">
        <v>92</v>
      </c>
      <c r="B14" s="9"/>
      <c r="C14" s="52"/>
      <c r="D14" s="62"/>
      <c r="E14" s="1"/>
      <c r="F14" s="53"/>
      <c r="G14" s="62">
        <v>293580.00000000006</v>
      </c>
      <c r="H14" s="1"/>
      <c r="I14" s="53"/>
      <c r="J14" s="62">
        <v>685020.00000000012</v>
      </c>
      <c r="K14" s="1"/>
      <c r="L14" s="53"/>
      <c r="M14" s="62">
        <v>1712550.0000000002</v>
      </c>
      <c r="N14" s="48"/>
      <c r="O14" s="52"/>
      <c r="P14" s="54">
        <f>SUM(D14:M14)</f>
        <v>2691150.0000000005</v>
      </c>
      <c r="Q14" s="48"/>
      <c r="R14" s="9"/>
      <c r="S14" s="52"/>
      <c r="T14" s="62">
        <v>0</v>
      </c>
      <c r="U14" s="1"/>
      <c r="V14" s="53"/>
      <c r="W14" s="62">
        <v>0</v>
      </c>
      <c r="X14" s="1"/>
      <c r="Y14" s="53"/>
      <c r="Z14" s="62">
        <v>0</v>
      </c>
      <c r="AA14" s="1"/>
      <c r="AB14" s="53"/>
      <c r="AC14" s="62">
        <v>0</v>
      </c>
      <c r="AD14" s="48"/>
      <c r="AE14" s="52"/>
      <c r="AF14" s="54">
        <f>SUM(T14:AC14)</f>
        <v>0</v>
      </c>
      <c r="AG14" s="48"/>
      <c r="AH14" s="9"/>
      <c r="AI14" s="52"/>
      <c r="AJ14" s="62">
        <v>0</v>
      </c>
      <c r="AK14" s="1"/>
      <c r="AL14" s="53"/>
      <c r="AM14" s="62">
        <v>0</v>
      </c>
      <c r="AN14" s="1"/>
      <c r="AO14" s="53"/>
      <c r="AP14" s="62">
        <v>0</v>
      </c>
      <c r="AQ14" s="1"/>
      <c r="AR14" s="53"/>
      <c r="AS14" s="62">
        <v>0</v>
      </c>
      <c r="AT14" s="48"/>
      <c r="AU14" s="52"/>
      <c r="AV14" s="54">
        <f>SUM(AJ14:AS14)</f>
        <v>0</v>
      </c>
      <c r="AW14" s="48"/>
      <c r="AX14" s="9"/>
      <c r="AY14" s="52"/>
      <c r="AZ14" s="62">
        <v>0</v>
      </c>
      <c r="BA14" s="1"/>
      <c r="BB14" s="53"/>
      <c r="BC14" s="62">
        <v>0</v>
      </c>
      <c r="BD14" s="1"/>
      <c r="BE14" s="53"/>
      <c r="BF14" s="62">
        <v>0</v>
      </c>
      <c r="BG14" s="1"/>
      <c r="BH14" s="53"/>
      <c r="BI14" s="62">
        <v>0</v>
      </c>
      <c r="BJ14" s="48"/>
      <c r="BK14" s="52"/>
      <c r="BL14" s="54">
        <f>SUM(AZ14:BI14)</f>
        <v>0</v>
      </c>
      <c r="BM14" s="48"/>
      <c r="BN14" s="70"/>
      <c r="BO14" s="52"/>
      <c r="BP14" s="86">
        <f>+D14+T14+AJ14+AZ14</f>
        <v>0</v>
      </c>
      <c r="BQ14" s="1"/>
      <c r="BR14" s="53"/>
      <c r="BS14" s="86">
        <f>+G14+W14+AM14+BC14</f>
        <v>293580.00000000006</v>
      </c>
      <c r="BT14" s="1"/>
      <c r="BU14" s="53"/>
      <c r="BV14" s="86">
        <f>+J14+Z14+AP14+BF14</f>
        <v>685020.00000000012</v>
      </c>
      <c r="BW14" s="1"/>
      <c r="BX14" s="53"/>
      <c r="BY14" s="86">
        <f>+M14+AC14+AS14+BI14</f>
        <v>1712550.0000000002</v>
      </c>
      <c r="BZ14" s="48"/>
      <c r="CA14" s="52"/>
      <c r="CB14" s="54">
        <f>SUM(BP14:BY14)</f>
        <v>2691150.0000000005</v>
      </c>
      <c r="CC14" s="48"/>
      <c r="CD14" s="70"/>
    </row>
    <row r="15" spans="1:82" x14ac:dyDescent="0.15">
      <c r="A15" s="59"/>
      <c r="B15" s="9"/>
      <c r="C15" s="48"/>
      <c r="D15" s="55"/>
      <c r="E15" s="1"/>
      <c r="F15" s="1"/>
      <c r="G15" s="55"/>
      <c r="H15" s="1"/>
      <c r="I15" s="1"/>
      <c r="J15" s="55"/>
      <c r="K15" s="1"/>
      <c r="L15" s="1"/>
      <c r="M15" s="55"/>
      <c r="N15" s="48"/>
      <c r="O15" s="48"/>
      <c r="P15" s="56"/>
      <c r="Q15" s="48"/>
      <c r="R15" s="9"/>
      <c r="S15" s="48"/>
      <c r="T15" s="55"/>
      <c r="U15" s="1"/>
      <c r="V15" s="1"/>
      <c r="W15" s="55"/>
      <c r="X15" s="1"/>
      <c r="Y15" s="1"/>
      <c r="Z15" s="55"/>
      <c r="AA15" s="1"/>
      <c r="AB15" s="1"/>
      <c r="AC15" s="55"/>
      <c r="AD15" s="48"/>
      <c r="AE15" s="48"/>
      <c r="AF15" s="56"/>
      <c r="AG15" s="48"/>
      <c r="AH15" s="9"/>
      <c r="AI15" s="48"/>
      <c r="AJ15" s="55"/>
      <c r="AK15" s="1"/>
      <c r="AL15" s="1"/>
      <c r="AM15" s="55"/>
      <c r="AN15" s="1"/>
      <c r="AO15" s="1"/>
      <c r="AP15" s="55"/>
      <c r="AQ15" s="1"/>
      <c r="AR15" s="1"/>
      <c r="AS15" s="55"/>
      <c r="AT15" s="48"/>
      <c r="AU15" s="48"/>
      <c r="AV15" s="56"/>
      <c r="AW15" s="48"/>
      <c r="AX15" s="9"/>
      <c r="AY15" s="48"/>
      <c r="AZ15" s="55"/>
      <c r="BA15" s="1"/>
      <c r="BB15" s="1"/>
      <c r="BC15" s="55"/>
      <c r="BD15" s="1"/>
      <c r="BE15" s="1"/>
      <c r="BF15" s="55"/>
      <c r="BG15" s="1"/>
      <c r="BH15" s="1"/>
      <c r="BI15" s="55"/>
      <c r="BJ15" s="48"/>
      <c r="BK15" s="48"/>
      <c r="BL15" s="56"/>
      <c r="BM15" s="48"/>
      <c r="BN15" s="70"/>
      <c r="BO15" s="48"/>
      <c r="BP15" s="55"/>
      <c r="BQ15" s="1"/>
      <c r="BR15" s="1"/>
      <c r="BS15" s="55"/>
      <c r="BT15" s="1"/>
      <c r="BU15" s="1"/>
      <c r="BV15" s="55"/>
      <c r="BW15" s="1"/>
      <c r="BX15" s="1"/>
      <c r="BY15" s="55"/>
      <c r="BZ15" s="48"/>
      <c r="CA15" s="48"/>
      <c r="CB15" s="56"/>
      <c r="CC15" s="48"/>
      <c r="CD15" s="70"/>
    </row>
    <row r="16" spans="1:82" x14ac:dyDescent="0.15">
      <c r="A16" s="68" t="s">
        <v>94</v>
      </c>
      <c r="B16" s="9"/>
      <c r="C16" s="52"/>
      <c r="D16" s="62"/>
      <c r="E16" s="1"/>
      <c r="F16" s="53"/>
      <c r="G16" s="62">
        <v>585000</v>
      </c>
      <c r="H16" s="1"/>
      <c r="I16" s="53"/>
      <c r="J16" s="62">
        <v>1365000</v>
      </c>
      <c r="K16" s="1"/>
      <c r="L16" s="53"/>
      <c r="M16" s="62">
        <v>1950000</v>
      </c>
      <c r="N16" s="48"/>
      <c r="O16" s="52"/>
      <c r="P16" s="54">
        <f>SUM(D16:M16)</f>
        <v>3900000</v>
      </c>
      <c r="Q16" s="48"/>
      <c r="R16" s="9"/>
      <c r="S16" s="52"/>
      <c r="T16" s="62">
        <v>0</v>
      </c>
      <c r="U16" s="1"/>
      <c r="V16" s="53"/>
      <c r="W16" s="62">
        <v>0</v>
      </c>
      <c r="X16" s="1"/>
      <c r="Y16" s="53"/>
      <c r="Z16" s="62">
        <v>0</v>
      </c>
      <c r="AA16" s="1"/>
      <c r="AB16" s="53"/>
      <c r="AC16" s="62">
        <v>0</v>
      </c>
      <c r="AD16" s="48"/>
      <c r="AE16" s="52"/>
      <c r="AF16" s="54">
        <f>SUM(T16:AC16)</f>
        <v>0</v>
      </c>
      <c r="AG16" s="48"/>
      <c r="AH16" s="9"/>
      <c r="AI16" s="52"/>
      <c r="AJ16" s="62">
        <v>0</v>
      </c>
      <c r="AK16" s="1"/>
      <c r="AL16" s="53"/>
      <c r="AM16" s="62">
        <v>0</v>
      </c>
      <c r="AN16" s="1"/>
      <c r="AO16" s="53"/>
      <c r="AP16" s="62">
        <v>0</v>
      </c>
      <c r="AQ16" s="1"/>
      <c r="AR16" s="53"/>
      <c r="AS16" s="62">
        <v>0</v>
      </c>
      <c r="AT16" s="48"/>
      <c r="AU16" s="52"/>
      <c r="AV16" s="54">
        <f>SUM(AJ16:AS16)</f>
        <v>0</v>
      </c>
      <c r="AW16" s="48"/>
      <c r="AX16" s="9"/>
      <c r="AY16" s="52"/>
      <c r="AZ16" s="62">
        <v>0</v>
      </c>
      <c r="BA16" s="1"/>
      <c r="BB16" s="53"/>
      <c r="BC16" s="62">
        <v>0</v>
      </c>
      <c r="BD16" s="1"/>
      <c r="BE16" s="53"/>
      <c r="BF16" s="62">
        <v>0</v>
      </c>
      <c r="BG16" s="1"/>
      <c r="BH16" s="53"/>
      <c r="BI16" s="62">
        <v>0</v>
      </c>
      <c r="BJ16" s="48"/>
      <c r="BK16" s="52"/>
      <c r="BL16" s="54">
        <f>SUM(AZ16:BI16)</f>
        <v>0</v>
      </c>
      <c r="BM16" s="48"/>
      <c r="BN16" s="70"/>
      <c r="BO16" s="52"/>
      <c r="BP16" s="86">
        <f>+D16+T16+AJ16+AZ16</f>
        <v>0</v>
      </c>
      <c r="BQ16" s="1"/>
      <c r="BR16" s="53"/>
      <c r="BS16" s="86">
        <f>+G16+W16+AM16+BC16</f>
        <v>585000</v>
      </c>
      <c r="BT16" s="1"/>
      <c r="BU16" s="53"/>
      <c r="BV16" s="86">
        <f>+J16+Z16+AP16+BF16</f>
        <v>1365000</v>
      </c>
      <c r="BW16" s="1"/>
      <c r="BX16" s="53"/>
      <c r="BY16" s="86">
        <f>+M16+AC16+AS16+BI16</f>
        <v>1950000</v>
      </c>
      <c r="BZ16" s="48"/>
      <c r="CA16" s="52"/>
      <c r="CB16" s="54">
        <f>SUM(BP16:BY16)</f>
        <v>3900000</v>
      </c>
      <c r="CC16" s="48"/>
      <c r="CD16" s="70"/>
    </row>
    <row r="17" spans="1:82" x14ac:dyDescent="0.15">
      <c r="A17" s="60"/>
      <c r="B17" s="9"/>
      <c r="C17" s="48"/>
      <c r="D17" s="57"/>
      <c r="E17" s="1"/>
      <c r="F17" s="1"/>
      <c r="G17" s="57"/>
      <c r="H17" s="1"/>
      <c r="I17" s="1"/>
      <c r="J17" s="57"/>
      <c r="K17" s="1"/>
      <c r="L17" s="1"/>
      <c r="M17" s="57"/>
      <c r="N17" s="48"/>
      <c r="O17" s="48"/>
      <c r="P17" s="51"/>
      <c r="Q17" s="48"/>
      <c r="R17" s="9"/>
      <c r="S17" s="48"/>
      <c r="T17" s="57"/>
      <c r="U17" s="1"/>
      <c r="V17" s="1"/>
      <c r="W17" s="57"/>
      <c r="X17" s="1"/>
      <c r="Y17" s="1"/>
      <c r="Z17" s="57"/>
      <c r="AA17" s="1"/>
      <c r="AB17" s="1"/>
      <c r="AC17" s="57"/>
      <c r="AD17" s="48"/>
      <c r="AE17" s="48"/>
      <c r="AF17" s="51"/>
      <c r="AG17" s="48"/>
      <c r="AH17" s="9"/>
      <c r="AI17" s="48"/>
      <c r="AJ17" s="57"/>
      <c r="AK17" s="1"/>
      <c r="AL17" s="1"/>
      <c r="AM17" s="57"/>
      <c r="AN17" s="1"/>
      <c r="AO17" s="1"/>
      <c r="AP17" s="57"/>
      <c r="AQ17" s="1"/>
      <c r="AR17" s="1"/>
      <c r="AS17" s="57"/>
      <c r="AT17" s="48"/>
      <c r="AU17" s="48"/>
      <c r="AV17" s="51"/>
      <c r="AW17" s="48"/>
      <c r="AX17" s="9"/>
      <c r="AY17" s="48"/>
      <c r="AZ17" s="57"/>
      <c r="BA17" s="1"/>
      <c r="BB17" s="1"/>
      <c r="BC17" s="57"/>
      <c r="BD17" s="1"/>
      <c r="BE17" s="1"/>
      <c r="BF17" s="57"/>
      <c r="BG17" s="1"/>
      <c r="BH17" s="1"/>
      <c r="BI17" s="57"/>
      <c r="BJ17" s="48"/>
      <c r="BK17" s="48"/>
      <c r="BL17" s="51"/>
      <c r="BM17" s="48"/>
      <c r="BN17" s="70"/>
      <c r="BO17" s="48"/>
      <c r="BP17" s="57"/>
      <c r="BQ17" s="1"/>
      <c r="BR17" s="1"/>
      <c r="BS17" s="57"/>
      <c r="BT17" s="1"/>
      <c r="BU17" s="1"/>
      <c r="BV17" s="57"/>
      <c r="BW17" s="1"/>
      <c r="BX17" s="1"/>
      <c r="BY17" s="57"/>
      <c r="BZ17" s="48"/>
      <c r="CA17" s="48"/>
      <c r="CB17" s="51"/>
      <c r="CC17" s="48"/>
      <c r="CD17" s="70"/>
    </row>
    <row r="18" spans="1:82" x14ac:dyDescent="0.15">
      <c r="A18" s="68" t="s">
        <v>95</v>
      </c>
      <c r="B18" s="9"/>
      <c r="C18" s="52"/>
      <c r="D18" s="62"/>
      <c r="E18" s="1"/>
      <c r="F18" s="53"/>
      <c r="G18" s="62">
        <v>828000</v>
      </c>
      <c r="H18" s="1"/>
      <c r="I18" s="53"/>
      <c r="J18" s="62">
        <v>2268000</v>
      </c>
      <c r="K18" s="1"/>
      <c r="L18" s="53"/>
      <c r="M18" s="62">
        <v>8610000</v>
      </c>
      <c r="N18" s="48"/>
      <c r="O18" s="52"/>
      <c r="P18" s="54">
        <f>SUM(D18:M18)</f>
        <v>11706000</v>
      </c>
      <c r="Q18" s="48"/>
      <c r="R18" s="9"/>
      <c r="S18" s="52"/>
      <c r="T18" s="62">
        <v>0</v>
      </c>
      <c r="U18" s="1"/>
      <c r="V18" s="53"/>
      <c r="W18" s="62">
        <v>0</v>
      </c>
      <c r="X18" s="1"/>
      <c r="Y18" s="53"/>
      <c r="Z18" s="62">
        <v>0</v>
      </c>
      <c r="AA18" s="1"/>
      <c r="AB18" s="53"/>
      <c r="AC18" s="62">
        <v>0</v>
      </c>
      <c r="AD18" s="48"/>
      <c r="AE18" s="52"/>
      <c r="AF18" s="54">
        <f>SUM(T18:AC18)</f>
        <v>0</v>
      </c>
      <c r="AG18" s="48"/>
      <c r="AH18" s="9"/>
      <c r="AI18" s="52"/>
      <c r="AJ18" s="62">
        <v>0</v>
      </c>
      <c r="AK18" s="1"/>
      <c r="AL18" s="53"/>
      <c r="AM18" s="62">
        <v>0</v>
      </c>
      <c r="AN18" s="1"/>
      <c r="AO18" s="53"/>
      <c r="AP18" s="62">
        <v>0</v>
      </c>
      <c r="AQ18" s="1"/>
      <c r="AR18" s="53"/>
      <c r="AS18" s="62">
        <v>0</v>
      </c>
      <c r="AT18" s="48"/>
      <c r="AU18" s="52"/>
      <c r="AV18" s="54">
        <f>SUM(AJ18:AS18)</f>
        <v>0</v>
      </c>
      <c r="AW18" s="48"/>
      <c r="AX18" s="9"/>
      <c r="AY18" s="52"/>
      <c r="AZ18" s="62">
        <v>0</v>
      </c>
      <c r="BA18" s="1"/>
      <c r="BB18" s="53"/>
      <c r="BC18" s="62">
        <v>0</v>
      </c>
      <c r="BD18" s="1"/>
      <c r="BE18" s="53"/>
      <c r="BF18" s="62">
        <v>0</v>
      </c>
      <c r="BG18" s="1"/>
      <c r="BH18" s="53"/>
      <c r="BI18" s="62">
        <v>0</v>
      </c>
      <c r="BJ18" s="48"/>
      <c r="BK18" s="52"/>
      <c r="BL18" s="54">
        <f>SUM(AZ18:BI18)</f>
        <v>0</v>
      </c>
      <c r="BM18" s="48"/>
      <c r="BN18" s="70"/>
      <c r="BO18" s="52"/>
      <c r="BP18" s="86">
        <f>+D18+T18+AJ18+AZ18</f>
        <v>0</v>
      </c>
      <c r="BQ18" s="1"/>
      <c r="BR18" s="53"/>
      <c r="BS18" s="86">
        <f>+G18+W18+AM18+BC18</f>
        <v>828000</v>
      </c>
      <c r="BT18" s="1"/>
      <c r="BU18" s="53"/>
      <c r="BV18" s="86">
        <f>+J18+Z18+AP18+BF18</f>
        <v>2268000</v>
      </c>
      <c r="BW18" s="1"/>
      <c r="BX18" s="53"/>
      <c r="BY18" s="86">
        <f>+M18+AC18+AS18+BI18</f>
        <v>8610000</v>
      </c>
      <c r="BZ18" s="48"/>
      <c r="CA18" s="52"/>
      <c r="CB18" s="54">
        <f>SUM(BP18:BY18)</f>
        <v>11706000</v>
      </c>
      <c r="CC18" s="48"/>
      <c r="CD18" s="70"/>
    </row>
    <row r="19" spans="1:82" x14ac:dyDescent="0.15">
      <c r="A19" s="60"/>
      <c r="B19" s="9"/>
      <c r="C19" s="48"/>
      <c r="D19" s="55"/>
      <c r="E19" s="1"/>
      <c r="F19" s="1"/>
      <c r="G19" s="55"/>
      <c r="H19" s="1"/>
      <c r="I19" s="1"/>
      <c r="J19" s="55"/>
      <c r="K19" s="1"/>
      <c r="L19" s="1"/>
      <c r="M19" s="55"/>
      <c r="N19" s="48"/>
      <c r="O19" s="48"/>
      <c r="P19" s="51"/>
      <c r="Q19" s="48"/>
      <c r="R19" s="9"/>
      <c r="S19" s="48"/>
      <c r="T19" s="55"/>
      <c r="U19" s="1"/>
      <c r="V19" s="1"/>
      <c r="W19" s="55"/>
      <c r="X19" s="1"/>
      <c r="Y19" s="1"/>
      <c r="Z19" s="55"/>
      <c r="AA19" s="1"/>
      <c r="AB19" s="1"/>
      <c r="AC19" s="55"/>
      <c r="AD19" s="48"/>
      <c r="AE19" s="48"/>
      <c r="AF19" s="51"/>
      <c r="AG19" s="48"/>
      <c r="AH19" s="9"/>
      <c r="AI19" s="48"/>
      <c r="AJ19" s="55"/>
      <c r="AK19" s="1"/>
      <c r="AL19" s="1"/>
      <c r="AM19" s="55"/>
      <c r="AN19" s="1"/>
      <c r="AO19" s="1"/>
      <c r="AP19" s="55"/>
      <c r="AQ19" s="1"/>
      <c r="AR19" s="1"/>
      <c r="AS19" s="55"/>
      <c r="AT19" s="48"/>
      <c r="AU19" s="48"/>
      <c r="AV19" s="51"/>
      <c r="AW19" s="48"/>
      <c r="AX19" s="9"/>
      <c r="AY19" s="48"/>
      <c r="AZ19" s="55"/>
      <c r="BA19" s="1"/>
      <c r="BB19" s="1"/>
      <c r="BC19" s="55"/>
      <c r="BD19" s="1"/>
      <c r="BE19" s="1"/>
      <c r="BF19" s="55"/>
      <c r="BG19" s="1"/>
      <c r="BH19" s="1"/>
      <c r="BI19" s="55"/>
      <c r="BJ19" s="48"/>
      <c r="BK19" s="48"/>
      <c r="BL19" s="51"/>
      <c r="BM19" s="48"/>
      <c r="BN19" s="70"/>
      <c r="BO19" s="48"/>
      <c r="BP19" s="55"/>
      <c r="BQ19" s="1"/>
      <c r="BR19" s="1"/>
      <c r="BS19" s="55"/>
      <c r="BT19" s="1"/>
      <c r="BU19" s="1"/>
      <c r="BV19" s="55"/>
      <c r="BW19" s="1"/>
      <c r="BX19" s="1"/>
      <c r="BY19" s="55"/>
      <c r="BZ19" s="48"/>
      <c r="CA19" s="48"/>
      <c r="CB19" s="51"/>
      <c r="CC19" s="48"/>
      <c r="CD19" s="70"/>
    </row>
    <row r="20" spans="1:82" x14ac:dyDescent="0.15">
      <c r="A20" s="68"/>
      <c r="B20" s="9"/>
      <c r="C20" s="52"/>
      <c r="D20" s="62">
        <v>0</v>
      </c>
      <c r="E20" s="1"/>
      <c r="F20" s="53"/>
      <c r="G20" s="62">
        <v>0</v>
      </c>
      <c r="H20" s="1"/>
      <c r="I20" s="53"/>
      <c r="J20" s="62">
        <v>0</v>
      </c>
      <c r="K20" s="1"/>
      <c r="L20" s="53"/>
      <c r="M20" s="62">
        <v>0</v>
      </c>
      <c r="N20" s="48"/>
      <c r="O20" s="52"/>
      <c r="P20" s="54">
        <f>SUM(D20:M20)</f>
        <v>0</v>
      </c>
      <c r="Q20" s="48"/>
      <c r="R20" s="9"/>
      <c r="S20" s="52"/>
      <c r="T20" s="62">
        <v>0</v>
      </c>
      <c r="U20" s="1"/>
      <c r="V20" s="53"/>
      <c r="W20" s="62">
        <v>0</v>
      </c>
      <c r="X20" s="1"/>
      <c r="Y20" s="53"/>
      <c r="Z20" s="62">
        <v>0</v>
      </c>
      <c r="AA20" s="1"/>
      <c r="AB20" s="53"/>
      <c r="AC20" s="62">
        <v>0</v>
      </c>
      <c r="AD20" s="48"/>
      <c r="AE20" s="52"/>
      <c r="AF20" s="54">
        <f>SUM(T20:AC20)</f>
        <v>0</v>
      </c>
      <c r="AG20" s="48"/>
      <c r="AH20" s="9"/>
      <c r="AI20" s="52"/>
      <c r="AJ20" s="62">
        <v>0</v>
      </c>
      <c r="AK20" s="1"/>
      <c r="AL20" s="53"/>
      <c r="AM20" s="62">
        <v>0</v>
      </c>
      <c r="AN20" s="1"/>
      <c r="AO20" s="53"/>
      <c r="AP20" s="62">
        <v>0</v>
      </c>
      <c r="AQ20" s="1"/>
      <c r="AR20" s="53"/>
      <c r="AS20" s="62">
        <v>0</v>
      </c>
      <c r="AT20" s="48"/>
      <c r="AU20" s="52"/>
      <c r="AV20" s="54">
        <f>SUM(AJ20:AS20)</f>
        <v>0</v>
      </c>
      <c r="AW20" s="48"/>
      <c r="AX20" s="9"/>
      <c r="AY20" s="52"/>
      <c r="AZ20" s="62">
        <v>0</v>
      </c>
      <c r="BA20" s="1"/>
      <c r="BB20" s="53"/>
      <c r="BC20" s="62">
        <v>0</v>
      </c>
      <c r="BD20" s="1"/>
      <c r="BE20" s="53"/>
      <c r="BF20" s="62">
        <v>0</v>
      </c>
      <c r="BG20" s="1"/>
      <c r="BH20" s="53"/>
      <c r="BI20" s="62">
        <v>0</v>
      </c>
      <c r="BJ20" s="48"/>
      <c r="BK20" s="52"/>
      <c r="BL20" s="54">
        <f>SUM(AZ20:BI20)</f>
        <v>0</v>
      </c>
      <c r="BM20" s="48"/>
      <c r="BN20" s="70"/>
      <c r="BO20" s="52"/>
      <c r="BP20" s="86">
        <f>+D20+T20+AJ20+AZ20</f>
        <v>0</v>
      </c>
      <c r="BQ20" s="1"/>
      <c r="BR20" s="53"/>
      <c r="BS20" s="86">
        <f>+G20+W20+AM20+BC20</f>
        <v>0</v>
      </c>
      <c r="BT20" s="1"/>
      <c r="BU20" s="53"/>
      <c r="BV20" s="86">
        <f>+J20+Z20+AP20+BF20</f>
        <v>0</v>
      </c>
      <c r="BW20" s="1"/>
      <c r="BX20" s="53"/>
      <c r="BY20" s="86">
        <f>+M20+AC20+AS20+BI20</f>
        <v>0</v>
      </c>
      <c r="BZ20" s="48"/>
      <c r="CA20" s="52"/>
      <c r="CB20" s="54">
        <f>SUM(BP20:BY20)</f>
        <v>0</v>
      </c>
      <c r="CC20" s="48"/>
      <c r="CD20" s="70"/>
    </row>
    <row r="21" spans="1:82" x14ac:dyDescent="0.15">
      <c r="A21" s="60"/>
      <c r="B21" s="9"/>
      <c r="C21" s="48"/>
      <c r="D21" s="57"/>
      <c r="E21" s="1"/>
      <c r="F21" s="1"/>
      <c r="G21" s="57"/>
      <c r="H21" s="1"/>
      <c r="I21" s="1"/>
      <c r="J21" s="57"/>
      <c r="K21" s="1"/>
      <c r="L21" s="1"/>
      <c r="M21" s="57"/>
      <c r="N21" s="48"/>
      <c r="O21" s="48"/>
      <c r="P21" s="51"/>
      <c r="Q21" s="48"/>
      <c r="R21" s="9"/>
      <c r="S21" s="48"/>
      <c r="T21" s="57"/>
      <c r="U21" s="1"/>
      <c r="V21" s="1"/>
      <c r="W21" s="57"/>
      <c r="X21" s="1"/>
      <c r="Y21" s="1"/>
      <c r="Z21" s="57"/>
      <c r="AA21" s="1"/>
      <c r="AB21" s="1"/>
      <c r="AC21" s="57"/>
      <c r="AD21" s="48"/>
      <c r="AE21" s="48"/>
      <c r="AF21" s="51"/>
      <c r="AG21" s="48"/>
      <c r="AH21" s="9"/>
      <c r="AI21" s="48"/>
      <c r="AJ21" s="57"/>
      <c r="AK21" s="1"/>
      <c r="AL21" s="1"/>
      <c r="AM21" s="57"/>
      <c r="AN21" s="1"/>
      <c r="AO21" s="1"/>
      <c r="AP21" s="57"/>
      <c r="AQ21" s="1"/>
      <c r="AR21" s="1"/>
      <c r="AS21" s="57"/>
      <c r="AT21" s="48"/>
      <c r="AU21" s="48"/>
      <c r="AV21" s="51"/>
      <c r="AW21" s="48"/>
      <c r="AX21" s="9"/>
      <c r="AY21" s="48"/>
      <c r="AZ21" s="57"/>
      <c r="BA21" s="1"/>
      <c r="BB21" s="1"/>
      <c r="BC21" s="57"/>
      <c r="BD21" s="1"/>
      <c r="BE21" s="1"/>
      <c r="BF21" s="57"/>
      <c r="BG21" s="1"/>
      <c r="BH21" s="1"/>
      <c r="BI21" s="57"/>
      <c r="BJ21" s="48"/>
      <c r="BK21" s="48"/>
      <c r="BL21" s="51"/>
      <c r="BM21" s="48"/>
      <c r="BN21" s="70"/>
      <c r="BO21" s="48"/>
      <c r="BP21" s="57"/>
      <c r="BQ21" s="1"/>
      <c r="BR21" s="1"/>
      <c r="BS21" s="57"/>
      <c r="BT21" s="1"/>
      <c r="BU21" s="1"/>
      <c r="BV21" s="57"/>
      <c r="BW21" s="1"/>
      <c r="BX21" s="1"/>
      <c r="BY21" s="57"/>
      <c r="BZ21" s="48"/>
      <c r="CA21" s="48"/>
      <c r="CB21" s="51"/>
      <c r="CC21" s="48"/>
      <c r="CD21" s="70"/>
    </row>
    <row r="22" spans="1:82" x14ac:dyDescent="0.15">
      <c r="A22" s="68"/>
      <c r="B22" s="9"/>
      <c r="C22" s="52"/>
      <c r="D22" s="62">
        <v>0</v>
      </c>
      <c r="E22" s="1"/>
      <c r="F22" s="53"/>
      <c r="G22" s="62">
        <v>0</v>
      </c>
      <c r="H22" s="1"/>
      <c r="I22" s="53"/>
      <c r="J22" s="62">
        <v>0</v>
      </c>
      <c r="K22" s="1"/>
      <c r="L22" s="53"/>
      <c r="M22" s="62">
        <v>0</v>
      </c>
      <c r="N22" s="48"/>
      <c r="O22" s="52"/>
      <c r="P22" s="54">
        <f>SUM(D22:M22)</f>
        <v>0</v>
      </c>
      <c r="Q22" s="48"/>
      <c r="R22" s="9"/>
      <c r="S22" s="52"/>
      <c r="T22" s="62">
        <v>0</v>
      </c>
      <c r="U22" s="1"/>
      <c r="V22" s="53"/>
      <c r="W22" s="62">
        <v>0</v>
      </c>
      <c r="X22" s="1"/>
      <c r="Y22" s="53"/>
      <c r="Z22" s="62">
        <v>0</v>
      </c>
      <c r="AA22" s="1"/>
      <c r="AB22" s="53"/>
      <c r="AC22" s="62">
        <v>0</v>
      </c>
      <c r="AD22" s="48"/>
      <c r="AE22" s="52"/>
      <c r="AF22" s="54">
        <f>SUM(T22:AC22)</f>
        <v>0</v>
      </c>
      <c r="AG22" s="48"/>
      <c r="AH22" s="9"/>
      <c r="AI22" s="52"/>
      <c r="AJ22" s="62">
        <v>0</v>
      </c>
      <c r="AK22" s="1"/>
      <c r="AL22" s="53"/>
      <c r="AM22" s="62">
        <v>0</v>
      </c>
      <c r="AN22" s="1"/>
      <c r="AO22" s="53"/>
      <c r="AP22" s="62">
        <v>0</v>
      </c>
      <c r="AQ22" s="1"/>
      <c r="AR22" s="53"/>
      <c r="AS22" s="62">
        <v>0</v>
      </c>
      <c r="AT22" s="48"/>
      <c r="AU22" s="52"/>
      <c r="AV22" s="54">
        <f>SUM(AJ22:AS22)</f>
        <v>0</v>
      </c>
      <c r="AW22" s="48"/>
      <c r="AX22" s="9"/>
      <c r="AY22" s="52"/>
      <c r="AZ22" s="62">
        <v>0</v>
      </c>
      <c r="BA22" s="1"/>
      <c r="BB22" s="53"/>
      <c r="BC22" s="62">
        <v>0</v>
      </c>
      <c r="BD22" s="1"/>
      <c r="BE22" s="53"/>
      <c r="BF22" s="62">
        <v>0</v>
      </c>
      <c r="BG22" s="1"/>
      <c r="BH22" s="53"/>
      <c r="BI22" s="62">
        <v>0</v>
      </c>
      <c r="BJ22" s="48"/>
      <c r="BK22" s="52"/>
      <c r="BL22" s="54">
        <f>SUM(AZ22:BI22)</f>
        <v>0</v>
      </c>
      <c r="BM22" s="48"/>
      <c r="BN22" s="70"/>
      <c r="BO22" s="52"/>
      <c r="BP22" s="86">
        <f>+D22+T22+AJ22+AZ22</f>
        <v>0</v>
      </c>
      <c r="BQ22" s="1"/>
      <c r="BR22" s="53"/>
      <c r="BS22" s="86">
        <f>+G22+W22+AM22+BC22</f>
        <v>0</v>
      </c>
      <c r="BT22" s="1"/>
      <c r="BU22" s="53"/>
      <c r="BV22" s="86">
        <f>+J22+Z22+AP22+BF22</f>
        <v>0</v>
      </c>
      <c r="BW22" s="1"/>
      <c r="BX22" s="53"/>
      <c r="BY22" s="86">
        <f>+M22+AC22+AS22+BI22</f>
        <v>0</v>
      </c>
      <c r="BZ22" s="48"/>
      <c r="CA22" s="52"/>
      <c r="CB22" s="54">
        <f>SUM(BP22:BY22)</f>
        <v>0</v>
      </c>
      <c r="CC22" s="48"/>
      <c r="CD22" s="70"/>
    </row>
    <row r="23" spans="1:82" x14ac:dyDescent="0.15">
      <c r="A23" s="61"/>
      <c r="B23" s="9"/>
      <c r="C23" s="48"/>
      <c r="D23" s="55"/>
      <c r="E23" s="1"/>
      <c r="F23" s="1"/>
      <c r="G23" s="55"/>
      <c r="H23" s="1"/>
      <c r="I23" s="1"/>
      <c r="J23" s="55"/>
      <c r="K23" s="1"/>
      <c r="L23" s="1"/>
      <c r="M23" s="55"/>
      <c r="N23" s="48"/>
      <c r="O23" s="48"/>
      <c r="P23" s="56"/>
      <c r="Q23" s="48"/>
      <c r="R23" s="9"/>
      <c r="S23" s="48"/>
      <c r="T23" s="55"/>
      <c r="U23" s="1"/>
      <c r="V23" s="1"/>
      <c r="W23" s="55"/>
      <c r="X23" s="1"/>
      <c r="Y23" s="1"/>
      <c r="Z23" s="55"/>
      <c r="AA23" s="1"/>
      <c r="AB23" s="1"/>
      <c r="AC23" s="55"/>
      <c r="AD23" s="48"/>
      <c r="AE23" s="48"/>
      <c r="AF23" s="56"/>
      <c r="AG23" s="48"/>
      <c r="AH23" s="9"/>
      <c r="AI23" s="48"/>
      <c r="AJ23" s="55"/>
      <c r="AK23" s="1"/>
      <c r="AL23" s="1"/>
      <c r="AM23" s="55"/>
      <c r="AN23" s="1"/>
      <c r="AO23" s="1"/>
      <c r="AP23" s="55"/>
      <c r="AQ23" s="1"/>
      <c r="AR23" s="1"/>
      <c r="AS23" s="55"/>
      <c r="AT23" s="48"/>
      <c r="AU23" s="48"/>
      <c r="AV23" s="56"/>
      <c r="AW23" s="48"/>
      <c r="AX23" s="9"/>
      <c r="AY23" s="48"/>
      <c r="AZ23" s="55"/>
      <c r="BA23" s="1"/>
      <c r="BB23" s="1"/>
      <c r="BC23" s="55"/>
      <c r="BD23" s="1"/>
      <c r="BE23" s="1"/>
      <c r="BF23" s="55"/>
      <c r="BG23" s="1"/>
      <c r="BH23" s="1"/>
      <c r="BI23" s="55"/>
      <c r="BJ23" s="48"/>
      <c r="BK23" s="48"/>
      <c r="BL23" s="56"/>
      <c r="BM23" s="48"/>
      <c r="BN23" s="70"/>
      <c r="BO23" s="48"/>
      <c r="BP23" s="55"/>
      <c r="BQ23" s="1"/>
      <c r="BR23" s="1"/>
      <c r="BS23" s="55"/>
      <c r="BT23" s="1"/>
      <c r="BU23" s="1"/>
      <c r="BV23" s="55"/>
      <c r="BW23" s="1"/>
      <c r="BX23" s="1"/>
      <c r="BY23" s="55"/>
      <c r="BZ23" s="48"/>
      <c r="CA23" s="48"/>
      <c r="CB23" s="56"/>
      <c r="CC23" s="48"/>
      <c r="CD23" s="70"/>
    </row>
    <row r="24" spans="1:82" x14ac:dyDescent="0.15">
      <c r="A24" s="68"/>
      <c r="B24" s="9"/>
      <c r="C24" s="52"/>
      <c r="D24" s="62">
        <v>0</v>
      </c>
      <c r="E24" s="1"/>
      <c r="F24" s="53"/>
      <c r="G24" s="62">
        <v>0</v>
      </c>
      <c r="H24" s="1"/>
      <c r="I24" s="53"/>
      <c r="J24" s="62">
        <v>0</v>
      </c>
      <c r="K24" s="1"/>
      <c r="L24" s="53"/>
      <c r="M24" s="62">
        <v>0</v>
      </c>
      <c r="N24" s="48"/>
      <c r="O24" s="52"/>
      <c r="P24" s="54">
        <f>SUM(D24:M24)</f>
        <v>0</v>
      </c>
      <c r="Q24" s="48"/>
      <c r="R24" s="9"/>
      <c r="S24" s="52"/>
      <c r="T24" s="62">
        <v>0</v>
      </c>
      <c r="U24" s="1"/>
      <c r="V24" s="53"/>
      <c r="W24" s="62">
        <v>0</v>
      </c>
      <c r="X24" s="1"/>
      <c r="Y24" s="53"/>
      <c r="Z24" s="62">
        <v>0</v>
      </c>
      <c r="AA24" s="1"/>
      <c r="AB24" s="53"/>
      <c r="AC24" s="62">
        <v>0</v>
      </c>
      <c r="AD24" s="48"/>
      <c r="AE24" s="52"/>
      <c r="AF24" s="54">
        <f>SUM(T24:AC24)</f>
        <v>0</v>
      </c>
      <c r="AG24" s="48"/>
      <c r="AH24" s="9"/>
      <c r="AI24" s="52"/>
      <c r="AJ24" s="62">
        <v>0</v>
      </c>
      <c r="AK24" s="1"/>
      <c r="AL24" s="53"/>
      <c r="AM24" s="62">
        <v>0</v>
      </c>
      <c r="AN24" s="1"/>
      <c r="AO24" s="53"/>
      <c r="AP24" s="62">
        <v>0</v>
      </c>
      <c r="AQ24" s="1"/>
      <c r="AR24" s="53"/>
      <c r="AS24" s="62">
        <v>0</v>
      </c>
      <c r="AT24" s="48"/>
      <c r="AU24" s="52"/>
      <c r="AV24" s="54">
        <f>SUM(AJ24:AS24)</f>
        <v>0</v>
      </c>
      <c r="AW24" s="48"/>
      <c r="AX24" s="9"/>
      <c r="AY24" s="52"/>
      <c r="AZ24" s="62">
        <v>0</v>
      </c>
      <c r="BA24" s="1"/>
      <c r="BB24" s="53"/>
      <c r="BC24" s="62">
        <v>0</v>
      </c>
      <c r="BD24" s="1"/>
      <c r="BE24" s="53"/>
      <c r="BF24" s="62">
        <v>0</v>
      </c>
      <c r="BG24" s="1"/>
      <c r="BH24" s="53"/>
      <c r="BI24" s="62">
        <v>0</v>
      </c>
      <c r="BJ24" s="48"/>
      <c r="BK24" s="52"/>
      <c r="BL24" s="54">
        <f>SUM(AZ24:BI24)</f>
        <v>0</v>
      </c>
      <c r="BM24" s="48"/>
      <c r="BN24" s="70"/>
      <c r="BO24" s="52"/>
      <c r="BP24" s="86">
        <f>+D24+T24+AJ24+AZ24</f>
        <v>0</v>
      </c>
      <c r="BQ24" s="1"/>
      <c r="BR24" s="53"/>
      <c r="BS24" s="86">
        <f>+G24+W24+AM24+BC24</f>
        <v>0</v>
      </c>
      <c r="BT24" s="1"/>
      <c r="BU24" s="53"/>
      <c r="BV24" s="86">
        <f>+J24+Z24+AP24+BF24</f>
        <v>0</v>
      </c>
      <c r="BW24" s="1"/>
      <c r="BX24" s="53"/>
      <c r="BY24" s="86">
        <f>+M24+AC24+AS24+BI24</f>
        <v>0</v>
      </c>
      <c r="BZ24" s="48"/>
      <c r="CA24" s="52"/>
      <c r="CB24" s="54">
        <f>SUM(BP24:BY24)</f>
        <v>0</v>
      </c>
      <c r="CC24" s="48"/>
      <c r="CD24" s="70"/>
    </row>
    <row r="25" spans="1:82" x14ac:dyDescent="0.15">
      <c r="A25" s="60"/>
      <c r="B25" s="9"/>
      <c r="C25" s="48"/>
      <c r="D25" s="57"/>
      <c r="E25" s="1"/>
      <c r="F25" s="1"/>
      <c r="G25" s="57"/>
      <c r="H25" s="1"/>
      <c r="I25" s="1"/>
      <c r="J25" s="57"/>
      <c r="K25" s="1"/>
      <c r="L25" s="1"/>
      <c r="M25" s="57"/>
      <c r="N25" s="48"/>
      <c r="O25" s="48"/>
      <c r="P25" s="51"/>
      <c r="Q25" s="48"/>
      <c r="R25" s="9"/>
      <c r="S25" s="48"/>
      <c r="T25" s="57"/>
      <c r="U25" s="1"/>
      <c r="V25" s="1"/>
      <c r="W25" s="57"/>
      <c r="X25" s="1"/>
      <c r="Y25" s="1"/>
      <c r="Z25" s="57"/>
      <c r="AA25" s="1"/>
      <c r="AB25" s="1"/>
      <c r="AC25" s="57"/>
      <c r="AD25" s="48"/>
      <c r="AE25" s="48"/>
      <c r="AF25" s="51"/>
      <c r="AG25" s="48"/>
      <c r="AH25" s="9"/>
      <c r="AI25" s="48"/>
      <c r="AJ25" s="57"/>
      <c r="AK25" s="1"/>
      <c r="AL25" s="1"/>
      <c r="AM25" s="57"/>
      <c r="AN25" s="1"/>
      <c r="AO25" s="1"/>
      <c r="AP25" s="57"/>
      <c r="AQ25" s="1"/>
      <c r="AR25" s="1"/>
      <c r="AS25" s="57"/>
      <c r="AT25" s="48"/>
      <c r="AU25" s="48"/>
      <c r="AV25" s="51"/>
      <c r="AW25" s="48"/>
      <c r="AX25" s="9"/>
      <c r="AY25" s="48"/>
      <c r="AZ25" s="57"/>
      <c r="BA25" s="1"/>
      <c r="BB25" s="1"/>
      <c r="BC25" s="57"/>
      <c r="BD25" s="1"/>
      <c r="BE25" s="1"/>
      <c r="BF25" s="57"/>
      <c r="BG25" s="1"/>
      <c r="BH25" s="1"/>
      <c r="BI25" s="57"/>
      <c r="BJ25" s="48"/>
      <c r="BK25" s="48"/>
      <c r="BL25" s="51"/>
      <c r="BM25" s="48"/>
      <c r="BN25" s="70"/>
      <c r="BO25" s="48"/>
      <c r="BP25" s="57"/>
      <c r="BQ25" s="1"/>
      <c r="BR25" s="1"/>
      <c r="BS25" s="57"/>
      <c r="BT25" s="1"/>
      <c r="BU25" s="1"/>
      <c r="BV25" s="57"/>
      <c r="BW25" s="1"/>
      <c r="BX25" s="1"/>
      <c r="BY25" s="57"/>
      <c r="BZ25" s="48"/>
      <c r="CA25" s="48"/>
      <c r="CB25" s="51"/>
      <c r="CC25" s="48"/>
      <c r="CD25" s="70"/>
    </row>
    <row r="26" spans="1:82" x14ac:dyDescent="0.15">
      <c r="A26" s="68"/>
      <c r="B26" s="9"/>
      <c r="C26" s="52"/>
      <c r="D26" s="62">
        <v>0</v>
      </c>
      <c r="E26" s="1"/>
      <c r="F26" s="53"/>
      <c r="G26" s="62">
        <v>0</v>
      </c>
      <c r="H26" s="1"/>
      <c r="I26" s="53"/>
      <c r="J26" s="62">
        <v>0</v>
      </c>
      <c r="K26" s="1"/>
      <c r="L26" s="53"/>
      <c r="M26" s="62">
        <v>0</v>
      </c>
      <c r="N26" s="48"/>
      <c r="O26" s="52"/>
      <c r="P26" s="54">
        <f>SUM(D26:M26)</f>
        <v>0</v>
      </c>
      <c r="Q26" s="48"/>
      <c r="R26" s="9"/>
      <c r="S26" s="52"/>
      <c r="T26" s="62">
        <v>0</v>
      </c>
      <c r="U26" s="1"/>
      <c r="V26" s="53"/>
      <c r="W26" s="62">
        <v>0</v>
      </c>
      <c r="X26" s="1"/>
      <c r="Y26" s="53"/>
      <c r="Z26" s="62">
        <v>0</v>
      </c>
      <c r="AA26" s="1"/>
      <c r="AB26" s="53"/>
      <c r="AC26" s="62">
        <v>0</v>
      </c>
      <c r="AD26" s="48"/>
      <c r="AE26" s="52"/>
      <c r="AF26" s="54">
        <f>SUM(T26:AC26)</f>
        <v>0</v>
      </c>
      <c r="AG26" s="48"/>
      <c r="AH26" s="9"/>
      <c r="AI26" s="52"/>
      <c r="AJ26" s="62">
        <v>0</v>
      </c>
      <c r="AK26" s="1"/>
      <c r="AL26" s="53"/>
      <c r="AM26" s="62">
        <v>0</v>
      </c>
      <c r="AN26" s="1"/>
      <c r="AO26" s="53"/>
      <c r="AP26" s="62">
        <v>0</v>
      </c>
      <c r="AQ26" s="1"/>
      <c r="AR26" s="53"/>
      <c r="AS26" s="62">
        <v>0</v>
      </c>
      <c r="AT26" s="48"/>
      <c r="AU26" s="52"/>
      <c r="AV26" s="54">
        <f>SUM(AJ26:AS26)</f>
        <v>0</v>
      </c>
      <c r="AW26" s="48"/>
      <c r="AX26" s="9"/>
      <c r="AY26" s="52"/>
      <c r="AZ26" s="62">
        <v>0</v>
      </c>
      <c r="BA26" s="1"/>
      <c r="BB26" s="53"/>
      <c r="BC26" s="62">
        <v>0</v>
      </c>
      <c r="BD26" s="1"/>
      <c r="BE26" s="53"/>
      <c r="BF26" s="62">
        <v>0</v>
      </c>
      <c r="BG26" s="1"/>
      <c r="BH26" s="53"/>
      <c r="BI26" s="62">
        <v>0</v>
      </c>
      <c r="BJ26" s="48"/>
      <c r="BK26" s="52"/>
      <c r="BL26" s="54">
        <f>SUM(AZ26:BI26)</f>
        <v>0</v>
      </c>
      <c r="BM26" s="48"/>
      <c r="BN26" s="70"/>
      <c r="BO26" s="52"/>
      <c r="BP26" s="86">
        <f>+D26+T26+AJ26+AZ26</f>
        <v>0</v>
      </c>
      <c r="BQ26" s="1"/>
      <c r="BR26" s="53"/>
      <c r="BS26" s="86">
        <f>+G26+W26+AM26+BC26</f>
        <v>0</v>
      </c>
      <c r="BT26" s="1"/>
      <c r="BU26" s="53"/>
      <c r="BV26" s="86">
        <f>+J26+Z26+AP26+BF26</f>
        <v>0</v>
      </c>
      <c r="BW26" s="1"/>
      <c r="BX26" s="53"/>
      <c r="BY26" s="86">
        <f>+M26+AC26+AS26+BI26</f>
        <v>0</v>
      </c>
      <c r="BZ26" s="48"/>
      <c r="CA26" s="52"/>
      <c r="CB26" s="54">
        <f>SUM(BP26:BY26)</f>
        <v>0</v>
      </c>
      <c r="CC26" s="48"/>
      <c r="CD26" s="70"/>
    </row>
    <row r="27" spans="1:82" x14ac:dyDescent="0.15">
      <c r="A27" s="60"/>
      <c r="B27" s="9"/>
      <c r="C27" s="48"/>
      <c r="D27" s="55"/>
      <c r="E27" s="1"/>
      <c r="F27" s="1"/>
      <c r="G27" s="55"/>
      <c r="H27" s="1"/>
      <c r="I27" s="1"/>
      <c r="J27" s="55"/>
      <c r="K27" s="1"/>
      <c r="L27" s="1"/>
      <c r="M27" s="55"/>
      <c r="N27" s="48"/>
      <c r="O27" s="48"/>
      <c r="P27" s="51"/>
      <c r="Q27" s="48"/>
      <c r="R27" s="9"/>
      <c r="S27" s="48"/>
      <c r="T27" s="55"/>
      <c r="U27" s="1"/>
      <c r="V27" s="1"/>
      <c r="W27" s="55"/>
      <c r="X27" s="1"/>
      <c r="Y27" s="1"/>
      <c r="Z27" s="55"/>
      <c r="AA27" s="1"/>
      <c r="AB27" s="1"/>
      <c r="AC27" s="55"/>
      <c r="AD27" s="48"/>
      <c r="AE27" s="48"/>
      <c r="AF27" s="51"/>
      <c r="AG27" s="48"/>
      <c r="AH27" s="9"/>
      <c r="AI27" s="48"/>
      <c r="AJ27" s="55"/>
      <c r="AK27" s="1"/>
      <c r="AL27" s="1"/>
      <c r="AM27" s="55"/>
      <c r="AN27" s="1"/>
      <c r="AO27" s="1"/>
      <c r="AP27" s="55"/>
      <c r="AQ27" s="1"/>
      <c r="AR27" s="1"/>
      <c r="AS27" s="55"/>
      <c r="AT27" s="48"/>
      <c r="AU27" s="48"/>
      <c r="AV27" s="51"/>
      <c r="AW27" s="48"/>
      <c r="AX27" s="9"/>
      <c r="AY27" s="48"/>
      <c r="AZ27" s="55"/>
      <c r="BA27" s="1"/>
      <c r="BB27" s="1"/>
      <c r="BC27" s="55"/>
      <c r="BD27" s="1"/>
      <c r="BE27" s="1"/>
      <c r="BF27" s="55"/>
      <c r="BG27" s="1"/>
      <c r="BH27" s="1"/>
      <c r="BI27" s="55"/>
      <c r="BJ27" s="48"/>
      <c r="BK27" s="48"/>
      <c r="BL27" s="51"/>
      <c r="BM27" s="48"/>
      <c r="BN27" s="70"/>
      <c r="BO27" s="48"/>
      <c r="BP27" s="55"/>
      <c r="BQ27" s="1"/>
      <c r="BR27" s="1"/>
      <c r="BS27" s="55"/>
      <c r="BT27" s="1"/>
      <c r="BU27" s="1"/>
      <c r="BV27" s="55"/>
      <c r="BW27" s="1"/>
      <c r="BX27" s="1"/>
      <c r="BY27" s="55"/>
      <c r="BZ27" s="48"/>
      <c r="CA27" s="48"/>
      <c r="CB27" s="51"/>
      <c r="CC27" s="48"/>
      <c r="CD27" s="70"/>
    </row>
    <row r="28" spans="1:82" x14ac:dyDescent="0.15">
      <c r="A28" s="68"/>
      <c r="B28" s="9"/>
      <c r="C28" s="52"/>
      <c r="D28" s="62">
        <v>0</v>
      </c>
      <c r="E28" s="1"/>
      <c r="F28" s="53"/>
      <c r="G28" s="62">
        <v>0</v>
      </c>
      <c r="H28" s="1"/>
      <c r="I28" s="53"/>
      <c r="J28" s="62">
        <v>0</v>
      </c>
      <c r="K28" s="1"/>
      <c r="L28" s="53"/>
      <c r="M28" s="62">
        <v>0</v>
      </c>
      <c r="N28" s="48"/>
      <c r="O28" s="52"/>
      <c r="P28" s="54">
        <f>SUM(D28:M28)</f>
        <v>0</v>
      </c>
      <c r="Q28" s="48"/>
      <c r="R28" s="9"/>
      <c r="S28" s="52"/>
      <c r="T28" s="62">
        <v>0</v>
      </c>
      <c r="U28" s="1"/>
      <c r="V28" s="53"/>
      <c r="W28" s="62">
        <v>0</v>
      </c>
      <c r="X28" s="1"/>
      <c r="Y28" s="53"/>
      <c r="Z28" s="62">
        <v>0</v>
      </c>
      <c r="AA28" s="1"/>
      <c r="AB28" s="53"/>
      <c r="AC28" s="62">
        <v>0</v>
      </c>
      <c r="AD28" s="48"/>
      <c r="AE28" s="52"/>
      <c r="AF28" s="54">
        <f>SUM(T28:AC28)</f>
        <v>0</v>
      </c>
      <c r="AG28" s="48"/>
      <c r="AH28" s="9"/>
      <c r="AI28" s="52"/>
      <c r="AJ28" s="62">
        <v>0</v>
      </c>
      <c r="AK28" s="1"/>
      <c r="AL28" s="53"/>
      <c r="AM28" s="62">
        <v>0</v>
      </c>
      <c r="AN28" s="1"/>
      <c r="AO28" s="53"/>
      <c r="AP28" s="62">
        <v>0</v>
      </c>
      <c r="AQ28" s="1"/>
      <c r="AR28" s="53"/>
      <c r="AS28" s="62">
        <v>0</v>
      </c>
      <c r="AT28" s="48"/>
      <c r="AU28" s="52"/>
      <c r="AV28" s="54">
        <f>SUM(AJ28:AS28)</f>
        <v>0</v>
      </c>
      <c r="AW28" s="48"/>
      <c r="AX28" s="9"/>
      <c r="AY28" s="52"/>
      <c r="AZ28" s="62">
        <v>0</v>
      </c>
      <c r="BA28" s="1"/>
      <c r="BB28" s="53"/>
      <c r="BC28" s="62">
        <v>0</v>
      </c>
      <c r="BD28" s="1"/>
      <c r="BE28" s="53"/>
      <c r="BF28" s="62">
        <v>0</v>
      </c>
      <c r="BG28" s="1"/>
      <c r="BH28" s="53"/>
      <c r="BI28" s="62">
        <v>0</v>
      </c>
      <c r="BJ28" s="48"/>
      <c r="BK28" s="52"/>
      <c r="BL28" s="54">
        <f>SUM(AZ28:BI28)</f>
        <v>0</v>
      </c>
      <c r="BM28" s="48"/>
      <c r="BN28" s="70"/>
      <c r="BO28" s="52"/>
      <c r="BP28" s="86">
        <f>+D28+T28+AJ28+AZ28</f>
        <v>0</v>
      </c>
      <c r="BQ28" s="1"/>
      <c r="BR28" s="53"/>
      <c r="BS28" s="86">
        <f>+G28+W28+AM28+BC28</f>
        <v>0</v>
      </c>
      <c r="BT28" s="1"/>
      <c r="BU28" s="53"/>
      <c r="BV28" s="86">
        <f>+J28+Z28+AP28+BF28</f>
        <v>0</v>
      </c>
      <c r="BW28" s="1"/>
      <c r="BX28" s="53"/>
      <c r="BY28" s="86">
        <f>+M28+AC28+AS28+BI28</f>
        <v>0</v>
      </c>
      <c r="BZ28" s="48"/>
      <c r="CA28" s="52"/>
      <c r="CB28" s="54">
        <f>SUM(BP28:BY28)</f>
        <v>0</v>
      </c>
      <c r="CC28" s="48"/>
      <c r="CD28" s="70"/>
    </row>
    <row r="29" spans="1:82" x14ac:dyDescent="0.15">
      <c r="A29" s="61"/>
      <c r="B29" s="9"/>
      <c r="C29" s="48"/>
      <c r="D29" s="55"/>
      <c r="E29" s="1"/>
      <c r="F29" s="1"/>
      <c r="G29" s="55"/>
      <c r="H29" s="1"/>
      <c r="I29" s="1"/>
      <c r="J29" s="55"/>
      <c r="K29" s="1"/>
      <c r="L29" s="1"/>
      <c r="M29" s="55"/>
      <c r="N29" s="48"/>
      <c r="O29" s="48"/>
      <c r="P29" s="56"/>
      <c r="Q29" s="48"/>
      <c r="R29" s="9"/>
      <c r="S29" s="48"/>
      <c r="T29" s="55"/>
      <c r="U29" s="1"/>
      <c r="V29" s="1"/>
      <c r="W29" s="55"/>
      <c r="X29" s="1"/>
      <c r="Y29" s="1"/>
      <c r="Z29" s="55"/>
      <c r="AA29" s="1"/>
      <c r="AB29" s="1"/>
      <c r="AC29" s="55"/>
      <c r="AD29" s="48"/>
      <c r="AE29" s="48"/>
      <c r="AF29" s="56"/>
      <c r="AG29" s="48"/>
      <c r="AH29" s="9"/>
      <c r="AI29" s="48"/>
      <c r="AJ29" s="55"/>
      <c r="AK29" s="1"/>
      <c r="AL29" s="1"/>
      <c r="AM29" s="55"/>
      <c r="AN29" s="1"/>
      <c r="AO29" s="1"/>
      <c r="AP29" s="55"/>
      <c r="AQ29" s="1"/>
      <c r="AR29" s="1"/>
      <c r="AS29" s="55"/>
      <c r="AT29" s="48"/>
      <c r="AU29" s="48"/>
      <c r="AV29" s="56"/>
      <c r="AW29" s="48"/>
      <c r="AX29" s="9"/>
      <c r="AY29" s="48"/>
      <c r="AZ29" s="55"/>
      <c r="BA29" s="1"/>
      <c r="BB29" s="1"/>
      <c r="BC29" s="55"/>
      <c r="BD29" s="1"/>
      <c r="BE29" s="1"/>
      <c r="BF29" s="55"/>
      <c r="BG29" s="1"/>
      <c r="BH29" s="1"/>
      <c r="BI29" s="55"/>
      <c r="BJ29" s="48"/>
      <c r="BK29" s="48"/>
      <c r="BL29" s="56"/>
      <c r="BM29" s="48"/>
      <c r="BN29" s="70"/>
      <c r="BO29" s="48"/>
      <c r="BP29" s="55"/>
      <c r="BQ29" s="1"/>
      <c r="BR29" s="1"/>
      <c r="BS29" s="55"/>
      <c r="BT29" s="1"/>
      <c r="BU29" s="1"/>
      <c r="BV29" s="55"/>
      <c r="BW29" s="1"/>
      <c r="BX29" s="1"/>
      <c r="BY29" s="55"/>
      <c r="BZ29" s="48"/>
      <c r="CA29" s="48"/>
      <c r="CB29" s="56"/>
      <c r="CC29" s="48"/>
      <c r="CD29" s="70"/>
    </row>
    <row r="30" spans="1:82" x14ac:dyDescent="0.15">
      <c r="A30" s="68"/>
      <c r="B30" s="9"/>
      <c r="C30" s="52"/>
      <c r="D30" s="62">
        <v>0</v>
      </c>
      <c r="E30" s="1"/>
      <c r="F30" s="53"/>
      <c r="G30" s="62">
        <v>0</v>
      </c>
      <c r="H30" s="1"/>
      <c r="I30" s="53"/>
      <c r="J30" s="62">
        <v>0</v>
      </c>
      <c r="K30" s="1"/>
      <c r="L30" s="53"/>
      <c r="M30" s="62">
        <v>0</v>
      </c>
      <c r="N30" s="48"/>
      <c r="O30" s="52"/>
      <c r="P30" s="54">
        <f>SUM(D30:M30)</f>
        <v>0</v>
      </c>
      <c r="Q30" s="48"/>
      <c r="R30" s="9"/>
      <c r="S30" s="52"/>
      <c r="T30" s="62">
        <v>0</v>
      </c>
      <c r="U30" s="1"/>
      <c r="V30" s="53"/>
      <c r="W30" s="62">
        <v>0</v>
      </c>
      <c r="X30" s="1"/>
      <c r="Y30" s="53"/>
      <c r="Z30" s="62">
        <v>0</v>
      </c>
      <c r="AA30" s="1"/>
      <c r="AB30" s="53"/>
      <c r="AC30" s="62">
        <v>0</v>
      </c>
      <c r="AD30" s="48"/>
      <c r="AE30" s="52"/>
      <c r="AF30" s="54">
        <f>SUM(T30:AC30)</f>
        <v>0</v>
      </c>
      <c r="AG30" s="48"/>
      <c r="AH30" s="9"/>
      <c r="AI30" s="52"/>
      <c r="AJ30" s="62">
        <v>0</v>
      </c>
      <c r="AK30" s="1"/>
      <c r="AL30" s="53"/>
      <c r="AM30" s="62">
        <v>0</v>
      </c>
      <c r="AN30" s="1"/>
      <c r="AO30" s="53"/>
      <c r="AP30" s="62">
        <v>0</v>
      </c>
      <c r="AQ30" s="1"/>
      <c r="AR30" s="53"/>
      <c r="AS30" s="62">
        <v>0</v>
      </c>
      <c r="AT30" s="48"/>
      <c r="AU30" s="52"/>
      <c r="AV30" s="54">
        <f>SUM(AJ30:AS30)</f>
        <v>0</v>
      </c>
      <c r="AW30" s="48"/>
      <c r="AX30" s="9"/>
      <c r="AY30" s="52"/>
      <c r="AZ30" s="62">
        <v>0</v>
      </c>
      <c r="BA30" s="1"/>
      <c r="BB30" s="53"/>
      <c r="BC30" s="62">
        <v>0</v>
      </c>
      <c r="BD30" s="1"/>
      <c r="BE30" s="53"/>
      <c r="BF30" s="62">
        <v>0</v>
      </c>
      <c r="BG30" s="1"/>
      <c r="BH30" s="53"/>
      <c r="BI30" s="62">
        <v>0</v>
      </c>
      <c r="BJ30" s="48"/>
      <c r="BK30" s="52"/>
      <c r="BL30" s="54">
        <f>SUM(AZ30:BI30)</f>
        <v>0</v>
      </c>
      <c r="BM30" s="48"/>
      <c r="BN30" s="70"/>
      <c r="BO30" s="52"/>
      <c r="BP30" s="86">
        <f>+D30+T30+AJ30+AZ30</f>
        <v>0</v>
      </c>
      <c r="BQ30" s="1"/>
      <c r="BR30" s="53"/>
      <c r="BS30" s="86">
        <f>+G30+W30+AM30+BC30</f>
        <v>0</v>
      </c>
      <c r="BT30" s="1"/>
      <c r="BU30" s="53"/>
      <c r="BV30" s="86">
        <f>+J30+Z30+AP30+BF30</f>
        <v>0</v>
      </c>
      <c r="BW30" s="1"/>
      <c r="BX30" s="53"/>
      <c r="BY30" s="86">
        <f>+M30+AC30+AS30+BI30</f>
        <v>0</v>
      </c>
      <c r="BZ30" s="48"/>
      <c r="CA30" s="52"/>
      <c r="CB30" s="54">
        <f>SUM(BP30:BY30)</f>
        <v>0</v>
      </c>
      <c r="CC30" s="48"/>
      <c r="CD30" s="70"/>
    </row>
    <row r="31" spans="1:82" x14ac:dyDescent="0.15">
      <c r="A31" s="60"/>
      <c r="B31" s="9"/>
      <c r="C31" s="48"/>
      <c r="D31" s="57"/>
      <c r="E31" s="1"/>
      <c r="F31" s="1"/>
      <c r="G31" s="57"/>
      <c r="H31" s="1"/>
      <c r="I31" s="1"/>
      <c r="J31" s="57"/>
      <c r="K31" s="1"/>
      <c r="L31" s="1"/>
      <c r="M31" s="57"/>
      <c r="N31" s="48"/>
      <c r="O31" s="48"/>
      <c r="P31" s="51"/>
      <c r="Q31" s="48"/>
      <c r="R31" s="9"/>
      <c r="S31" s="48"/>
      <c r="T31" s="57"/>
      <c r="U31" s="1"/>
      <c r="V31" s="1"/>
      <c r="W31" s="57"/>
      <c r="X31" s="1"/>
      <c r="Y31" s="1"/>
      <c r="Z31" s="57"/>
      <c r="AA31" s="1"/>
      <c r="AB31" s="1"/>
      <c r="AC31" s="57"/>
      <c r="AD31" s="48"/>
      <c r="AE31" s="48"/>
      <c r="AF31" s="51"/>
      <c r="AG31" s="48"/>
      <c r="AH31" s="9"/>
      <c r="AI31" s="48"/>
      <c r="AJ31" s="57"/>
      <c r="AK31" s="1"/>
      <c r="AL31" s="1"/>
      <c r="AM31" s="57"/>
      <c r="AN31" s="1"/>
      <c r="AO31" s="1"/>
      <c r="AP31" s="57"/>
      <c r="AQ31" s="1"/>
      <c r="AR31" s="1"/>
      <c r="AS31" s="57"/>
      <c r="AT31" s="48"/>
      <c r="AU31" s="48"/>
      <c r="AV31" s="51"/>
      <c r="AW31" s="48"/>
      <c r="AX31" s="9"/>
      <c r="AY31" s="48"/>
      <c r="AZ31" s="57"/>
      <c r="BA31" s="1"/>
      <c r="BB31" s="1"/>
      <c r="BC31" s="57"/>
      <c r="BD31" s="1"/>
      <c r="BE31" s="1"/>
      <c r="BF31" s="57"/>
      <c r="BG31" s="1"/>
      <c r="BH31" s="1"/>
      <c r="BI31" s="57"/>
      <c r="BJ31" s="48"/>
      <c r="BK31" s="48"/>
      <c r="BL31" s="51"/>
      <c r="BM31" s="48"/>
      <c r="BN31" s="70"/>
      <c r="BO31" s="48"/>
      <c r="BP31" s="57"/>
      <c r="BQ31" s="1"/>
      <c r="BR31" s="1"/>
      <c r="BS31" s="57"/>
      <c r="BT31" s="1"/>
      <c r="BU31" s="1"/>
      <c r="BV31" s="57"/>
      <c r="BW31" s="1"/>
      <c r="BX31" s="1"/>
      <c r="BY31" s="57"/>
      <c r="BZ31" s="48"/>
      <c r="CA31" s="48"/>
      <c r="CB31" s="51"/>
      <c r="CC31" s="48"/>
      <c r="CD31" s="70"/>
    </row>
    <row r="32" spans="1:82" x14ac:dyDescent="0.15">
      <c r="A32" s="68"/>
      <c r="B32" s="9"/>
      <c r="C32" s="52"/>
      <c r="D32" s="62">
        <v>0</v>
      </c>
      <c r="E32" s="1"/>
      <c r="F32" s="53"/>
      <c r="G32" s="62">
        <v>0</v>
      </c>
      <c r="H32" s="1"/>
      <c r="I32" s="53"/>
      <c r="J32" s="62">
        <v>0</v>
      </c>
      <c r="K32" s="1"/>
      <c r="L32" s="53"/>
      <c r="M32" s="62">
        <v>0</v>
      </c>
      <c r="N32" s="48"/>
      <c r="O32" s="52"/>
      <c r="P32" s="54">
        <f>SUM(D32:M32)</f>
        <v>0</v>
      </c>
      <c r="Q32" s="48"/>
      <c r="R32" s="9"/>
      <c r="S32" s="52"/>
      <c r="T32" s="62">
        <v>0</v>
      </c>
      <c r="U32" s="1"/>
      <c r="V32" s="53"/>
      <c r="W32" s="62">
        <v>0</v>
      </c>
      <c r="X32" s="1"/>
      <c r="Y32" s="53"/>
      <c r="Z32" s="62">
        <v>0</v>
      </c>
      <c r="AA32" s="1"/>
      <c r="AB32" s="53"/>
      <c r="AC32" s="62">
        <v>0</v>
      </c>
      <c r="AD32" s="48"/>
      <c r="AE32" s="52"/>
      <c r="AF32" s="54">
        <f>SUM(T32:AC32)</f>
        <v>0</v>
      </c>
      <c r="AG32" s="48"/>
      <c r="AH32" s="9"/>
      <c r="AI32" s="52"/>
      <c r="AJ32" s="62">
        <v>0</v>
      </c>
      <c r="AK32" s="1"/>
      <c r="AL32" s="53"/>
      <c r="AM32" s="62">
        <v>0</v>
      </c>
      <c r="AN32" s="1"/>
      <c r="AO32" s="53"/>
      <c r="AP32" s="62">
        <v>0</v>
      </c>
      <c r="AQ32" s="1"/>
      <c r="AR32" s="53"/>
      <c r="AS32" s="62">
        <v>0</v>
      </c>
      <c r="AT32" s="48"/>
      <c r="AU32" s="52"/>
      <c r="AV32" s="54">
        <f>SUM(AJ32:AS32)</f>
        <v>0</v>
      </c>
      <c r="AW32" s="48"/>
      <c r="AX32" s="9"/>
      <c r="AY32" s="52"/>
      <c r="AZ32" s="62">
        <v>0</v>
      </c>
      <c r="BA32" s="1"/>
      <c r="BB32" s="53"/>
      <c r="BC32" s="62">
        <v>0</v>
      </c>
      <c r="BD32" s="1"/>
      <c r="BE32" s="53"/>
      <c r="BF32" s="62">
        <v>0</v>
      </c>
      <c r="BG32" s="1"/>
      <c r="BH32" s="53"/>
      <c r="BI32" s="62">
        <v>0</v>
      </c>
      <c r="BJ32" s="48"/>
      <c r="BK32" s="52"/>
      <c r="BL32" s="54">
        <f>SUM(AZ32:BI32)</f>
        <v>0</v>
      </c>
      <c r="BM32" s="48"/>
      <c r="BN32" s="70"/>
      <c r="BO32" s="52"/>
      <c r="BP32" s="86">
        <f>+D32+T32+AJ32+AZ32</f>
        <v>0</v>
      </c>
      <c r="BQ32" s="1"/>
      <c r="BR32" s="53"/>
      <c r="BS32" s="86">
        <f>+G32+W32+AM32+BC32</f>
        <v>0</v>
      </c>
      <c r="BT32" s="1"/>
      <c r="BU32" s="53"/>
      <c r="BV32" s="86">
        <f>+J32+Z32+AP32+BF32</f>
        <v>0</v>
      </c>
      <c r="BW32" s="1"/>
      <c r="BX32" s="53"/>
      <c r="BY32" s="86">
        <f>+M32+AC32+AS32+BI32</f>
        <v>0</v>
      </c>
      <c r="BZ32" s="48"/>
      <c r="CA32" s="52"/>
      <c r="CB32" s="54">
        <f>SUM(BP32:BY32)</f>
        <v>0</v>
      </c>
      <c r="CC32" s="48"/>
      <c r="CD32" s="70"/>
    </row>
    <row r="33" spans="1:82" x14ac:dyDescent="0.15">
      <c r="A33" s="1"/>
      <c r="B33" s="9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58"/>
      <c r="Q33" s="48"/>
      <c r="R33" s="9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58"/>
      <c r="AG33" s="48"/>
      <c r="AH33" s="9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58"/>
      <c r="AW33" s="48"/>
      <c r="AX33" s="9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58"/>
      <c r="BM33" s="48"/>
      <c r="BN33" s="70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58"/>
      <c r="CC33" s="48"/>
      <c r="CD33" s="70"/>
    </row>
    <row r="34" spans="1:82" x14ac:dyDescent="0.15">
      <c r="A34" s="1"/>
      <c r="B34" s="9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9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9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9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70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70"/>
    </row>
    <row r="35" spans="1:82" ht="16" x14ac:dyDescent="0.2">
      <c r="A35" s="127" t="s">
        <v>52</v>
      </c>
      <c r="B35" s="9"/>
      <c r="C35" s="49"/>
      <c r="D35" s="63">
        <f>SUM(D37:D56)</f>
        <v>0</v>
      </c>
      <c r="E35" s="64"/>
      <c r="F35" s="65"/>
      <c r="G35" s="63">
        <f>SUM(G37:G56)</f>
        <v>0</v>
      </c>
      <c r="H35" s="64"/>
      <c r="I35" s="65"/>
      <c r="J35" s="63">
        <f>SUM(J37:J56)</f>
        <v>0</v>
      </c>
      <c r="K35" s="64"/>
      <c r="L35" s="65"/>
      <c r="M35" s="63">
        <f>SUM(M37:M56)</f>
        <v>0</v>
      </c>
      <c r="N35" s="48"/>
      <c r="O35" s="50"/>
      <c r="P35" s="67">
        <f>SUM(P37:P56)</f>
        <v>0</v>
      </c>
      <c r="Q35" s="66"/>
      <c r="R35" s="9"/>
      <c r="S35" s="49"/>
      <c r="T35" s="63">
        <f>SUM(T37:T56)</f>
        <v>0</v>
      </c>
      <c r="U35" s="64"/>
      <c r="V35" s="65"/>
      <c r="W35" s="63">
        <f>SUM(W37:W56)</f>
        <v>0</v>
      </c>
      <c r="X35" s="64"/>
      <c r="Y35" s="65"/>
      <c r="Z35" s="63">
        <f>SUM(Z37:Z56)</f>
        <v>0</v>
      </c>
      <c r="AA35" s="64"/>
      <c r="AB35" s="65"/>
      <c r="AC35" s="63">
        <f>SUM(AC37:AC56)</f>
        <v>0</v>
      </c>
      <c r="AD35" s="48"/>
      <c r="AE35" s="50"/>
      <c r="AF35" s="67">
        <f>SUM(AF37:AF56)</f>
        <v>0</v>
      </c>
      <c r="AG35" s="66"/>
      <c r="AH35" s="9"/>
      <c r="AI35" s="49"/>
      <c r="AJ35" s="63">
        <f>SUM(AJ37:AJ56)</f>
        <v>0</v>
      </c>
      <c r="AK35" s="64"/>
      <c r="AL35" s="65"/>
      <c r="AM35" s="63">
        <f>SUM(AM37:AM56)</f>
        <v>0</v>
      </c>
      <c r="AN35" s="64"/>
      <c r="AO35" s="65"/>
      <c r="AP35" s="63">
        <f>SUM(AP37:AP56)</f>
        <v>0</v>
      </c>
      <c r="AQ35" s="64"/>
      <c r="AR35" s="65"/>
      <c r="AS35" s="63">
        <f>SUM(AS37:AS56)</f>
        <v>0</v>
      </c>
      <c r="AT35" s="48"/>
      <c r="AU35" s="50"/>
      <c r="AV35" s="67">
        <f>SUM(AV37:AV56)</f>
        <v>0</v>
      </c>
      <c r="AW35" s="66"/>
      <c r="AX35" s="9"/>
      <c r="AY35" s="49"/>
      <c r="AZ35" s="63">
        <f>SUM(AZ37:AZ56)</f>
        <v>0</v>
      </c>
      <c r="BA35" s="64"/>
      <c r="BB35" s="65"/>
      <c r="BC35" s="63">
        <f>SUM(BC37:BC56)</f>
        <v>0</v>
      </c>
      <c r="BD35" s="64"/>
      <c r="BE35" s="65"/>
      <c r="BF35" s="63">
        <f>SUM(BF37:BF56)</f>
        <v>0</v>
      </c>
      <c r="BG35" s="64"/>
      <c r="BH35" s="65"/>
      <c r="BI35" s="63">
        <f>SUM(BI37:BI56)</f>
        <v>0</v>
      </c>
      <c r="BJ35" s="48"/>
      <c r="BK35" s="50"/>
      <c r="BL35" s="67">
        <f>SUM(BL37:BL56)</f>
        <v>0</v>
      </c>
      <c r="BM35" s="66"/>
      <c r="BN35" s="70"/>
      <c r="BO35" s="49"/>
      <c r="BP35" s="63">
        <f>SUM(BP37:BP56)</f>
        <v>0</v>
      </c>
      <c r="BQ35" s="64"/>
      <c r="BR35" s="65"/>
      <c r="BS35" s="63">
        <f>SUM(BS37:BS56)</f>
        <v>0</v>
      </c>
      <c r="BT35" s="64"/>
      <c r="BU35" s="65"/>
      <c r="BV35" s="63">
        <f>SUM(BV37:BV56)</f>
        <v>0</v>
      </c>
      <c r="BW35" s="64"/>
      <c r="BX35" s="65"/>
      <c r="BY35" s="63">
        <f>SUM(BY37:BY56)</f>
        <v>0</v>
      </c>
      <c r="BZ35" s="48"/>
      <c r="CA35" s="50"/>
      <c r="CB35" s="67">
        <f>SUM(CB37:CB56)</f>
        <v>0</v>
      </c>
      <c r="CC35" s="66"/>
      <c r="CD35" s="70"/>
    </row>
    <row r="36" spans="1:82" x14ac:dyDescent="0.15">
      <c r="A36" s="47"/>
      <c r="B36" s="9"/>
      <c r="C36" s="48"/>
      <c r="D36" s="51"/>
      <c r="E36" s="48"/>
      <c r="F36" s="48"/>
      <c r="G36" s="51"/>
      <c r="H36" s="48"/>
      <c r="I36" s="48"/>
      <c r="J36" s="51"/>
      <c r="K36" s="48"/>
      <c r="L36" s="48"/>
      <c r="M36" s="51"/>
      <c r="N36" s="48"/>
      <c r="O36" s="48"/>
      <c r="P36" s="51"/>
      <c r="Q36" s="48"/>
      <c r="R36" s="9"/>
      <c r="S36" s="48"/>
      <c r="T36" s="51"/>
      <c r="U36" s="48"/>
      <c r="V36" s="48"/>
      <c r="W36" s="51"/>
      <c r="X36" s="48"/>
      <c r="Y36" s="48"/>
      <c r="Z36" s="51"/>
      <c r="AA36" s="48"/>
      <c r="AB36" s="48"/>
      <c r="AC36" s="51"/>
      <c r="AD36" s="48"/>
      <c r="AE36" s="48"/>
      <c r="AF36" s="51"/>
      <c r="AG36" s="48"/>
      <c r="AH36" s="9"/>
      <c r="AI36" s="48"/>
      <c r="AJ36" s="51"/>
      <c r="AK36" s="48"/>
      <c r="AL36" s="48"/>
      <c r="AM36" s="51"/>
      <c r="AN36" s="48"/>
      <c r="AO36" s="48"/>
      <c r="AP36" s="51"/>
      <c r="AQ36" s="48"/>
      <c r="AR36" s="48"/>
      <c r="AS36" s="51"/>
      <c r="AT36" s="48"/>
      <c r="AU36" s="48"/>
      <c r="AV36" s="51"/>
      <c r="AW36" s="48"/>
      <c r="AX36" s="9"/>
      <c r="AY36" s="48"/>
      <c r="AZ36" s="51"/>
      <c r="BA36" s="48"/>
      <c r="BB36" s="48"/>
      <c r="BC36" s="51"/>
      <c r="BD36" s="48"/>
      <c r="BE36" s="48"/>
      <c r="BF36" s="51"/>
      <c r="BG36" s="48"/>
      <c r="BH36" s="48"/>
      <c r="BI36" s="51"/>
      <c r="BJ36" s="48"/>
      <c r="BK36" s="48"/>
      <c r="BL36" s="51"/>
      <c r="BM36" s="48"/>
      <c r="BN36" s="70"/>
      <c r="BO36" s="48"/>
      <c r="BP36" s="51"/>
      <c r="BQ36" s="48"/>
      <c r="BR36" s="48"/>
      <c r="BS36" s="51"/>
      <c r="BT36" s="48"/>
      <c r="BU36" s="48"/>
      <c r="BV36" s="51"/>
      <c r="BW36" s="48"/>
      <c r="BX36" s="48"/>
      <c r="BY36" s="51"/>
      <c r="BZ36" s="48"/>
      <c r="CA36" s="48"/>
      <c r="CB36" s="51"/>
      <c r="CC36" s="48"/>
      <c r="CD36" s="70"/>
    </row>
    <row r="37" spans="1:82" x14ac:dyDescent="0.15">
      <c r="A37" s="68"/>
      <c r="B37" s="9"/>
      <c r="C37" s="52"/>
      <c r="D37" s="62">
        <v>0</v>
      </c>
      <c r="E37" s="1"/>
      <c r="F37" s="53"/>
      <c r="G37" s="62">
        <v>0</v>
      </c>
      <c r="H37" s="1"/>
      <c r="I37" s="53"/>
      <c r="J37" s="62">
        <v>0</v>
      </c>
      <c r="K37" s="1"/>
      <c r="L37" s="53"/>
      <c r="M37" s="62">
        <v>0</v>
      </c>
      <c r="N37" s="48"/>
      <c r="O37" s="52"/>
      <c r="P37" s="54">
        <f>SUM(D37:M37)</f>
        <v>0</v>
      </c>
      <c r="Q37" s="48"/>
      <c r="R37" s="9"/>
      <c r="S37" s="52"/>
      <c r="T37" s="62">
        <v>0</v>
      </c>
      <c r="U37" s="1"/>
      <c r="V37" s="53"/>
      <c r="W37" s="62">
        <v>0</v>
      </c>
      <c r="X37" s="1"/>
      <c r="Y37" s="53"/>
      <c r="Z37" s="62">
        <v>0</v>
      </c>
      <c r="AA37" s="1"/>
      <c r="AB37" s="53"/>
      <c r="AC37" s="62">
        <v>0</v>
      </c>
      <c r="AD37" s="48"/>
      <c r="AE37" s="52"/>
      <c r="AF37" s="54">
        <f>SUM(T37:AC37)</f>
        <v>0</v>
      </c>
      <c r="AG37" s="48"/>
      <c r="AH37" s="9"/>
      <c r="AI37" s="52"/>
      <c r="AJ37" s="62">
        <v>0</v>
      </c>
      <c r="AK37" s="1"/>
      <c r="AL37" s="53"/>
      <c r="AM37" s="62">
        <v>0</v>
      </c>
      <c r="AN37" s="1"/>
      <c r="AO37" s="53"/>
      <c r="AP37" s="62">
        <v>0</v>
      </c>
      <c r="AQ37" s="1"/>
      <c r="AR37" s="53"/>
      <c r="AS37" s="62">
        <v>0</v>
      </c>
      <c r="AT37" s="48"/>
      <c r="AU37" s="52"/>
      <c r="AV37" s="54">
        <f>SUM(AJ37:AS37)</f>
        <v>0</v>
      </c>
      <c r="AW37" s="48"/>
      <c r="AX37" s="9"/>
      <c r="AY37" s="52"/>
      <c r="AZ37" s="62">
        <v>0</v>
      </c>
      <c r="BA37" s="1"/>
      <c r="BB37" s="53"/>
      <c r="BC37" s="62">
        <v>0</v>
      </c>
      <c r="BD37" s="1"/>
      <c r="BE37" s="53"/>
      <c r="BF37" s="62">
        <v>0</v>
      </c>
      <c r="BG37" s="1"/>
      <c r="BH37" s="53"/>
      <c r="BI37" s="62">
        <v>0</v>
      </c>
      <c r="BJ37" s="48"/>
      <c r="BK37" s="52"/>
      <c r="BL37" s="54">
        <f>SUM(AZ37:BI37)</f>
        <v>0</v>
      </c>
      <c r="BM37" s="48"/>
      <c r="BN37" s="70"/>
      <c r="BO37" s="52"/>
      <c r="BP37" s="86">
        <f>+D37+T37+AJ37+AZ37</f>
        <v>0</v>
      </c>
      <c r="BQ37" s="1"/>
      <c r="BR37" s="53"/>
      <c r="BS37" s="86">
        <f>+G37+W37+AM37+BC37</f>
        <v>0</v>
      </c>
      <c r="BT37" s="1"/>
      <c r="BU37" s="53"/>
      <c r="BV37" s="86">
        <f>+J37+Z37+AP37+BF37</f>
        <v>0</v>
      </c>
      <c r="BW37" s="1"/>
      <c r="BX37" s="53"/>
      <c r="BY37" s="86">
        <f>+M37+AC37+AS37+BI37</f>
        <v>0</v>
      </c>
      <c r="BZ37" s="48"/>
      <c r="CA37" s="52"/>
      <c r="CB37" s="54">
        <f>SUM(BP37:BY37)</f>
        <v>0</v>
      </c>
      <c r="CC37" s="48"/>
      <c r="CD37" s="70"/>
    </row>
    <row r="38" spans="1:82" x14ac:dyDescent="0.15">
      <c r="A38" s="59"/>
      <c r="B38" s="9"/>
      <c r="C38" s="48"/>
      <c r="D38" s="55"/>
      <c r="E38" s="1"/>
      <c r="F38" s="1"/>
      <c r="G38" s="55"/>
      <c r="H38" s="1"/>
      <c r="I38" s="1"/>
      <c r="J38" s="55"/>
      <c r="K38" s="1"/>
      <c r="L38" s="1"/>
      <c r="M38" s="55"/>
      <c r="N38" s="48"/>
      <c r="O38" s="48"/>
      <c r="P38" s="56"/>
      <c r="Q38" s="48"/>
      <c r="R38" s="9"/>
      <c r="S38" s="48"/>
      <c r="T38" s="55"/>
      <c r="U38" s="1"/>
      <c r="V38" s="1"/>
      <c r="W38" s="55"/>
      <c r="X38" s="1"/>
      <c r="Y38" s="1"/>
      <c r="Z38" s="55"/>
      <c r="AA38" s="1"/>
      <c r="AB38" s="1"/>
      <c r="AC38" s="55"/>
      <c r="AD38" s="48"/>
      <c r="AE38" s="48"/>
      <c r="AF38" s="56"/>
      <c r="AG38" s="48"/>
      <c r="AH38" s="9"/>
      <c r="AI38" s="48"/>
      <c r="AJ38" s="55"/>
      <c r="AK38" s="1"/>
      <c r="AL38" s="1"/>
      <c r="AM38" s="55"/>
      <c r="AN38" s="1"/>
      <c r="AO38" s="1"/>
      <c r="AP38" s="55"/>
      <c r="AQ38" s="1"/>
      <c r="AR38" s="1"/>
      <c r="AS38" s="55"/>
      <c r="AT38" s="48"/>
      <c r="AU38" s="48"/>
      <c r="AV38" s="56"/>
      <c r="AW38" s="48"/>
      <c r="AX38" s="9"/>
      <c r="AY38" s="48"/>
      <c r="AZ38" s="55"/>
      <c r="BA38" s="1"/>
      <c r="BB38" s="1"/>
      <c r="BC38" s="55"/>
      <c r="BD38" s="1"/>
      <c r="BE38" s="1"/>
      <c r="BF38" s="55"/>
      <c r="BG38" s="1"/>
      <c r="BH38" s="1"/>
      <c r="BI38" s="55"/>
      <c r="BJ38" s="48"/>
      <c r="BK38" s="48"/>
      <c r="BL38" s="56"/>
      <c r="BM38" s="48"/>
      <c r="BN38" s="70"/>
      <c r="BO38" s="48"/>
      <c r="BP38" s="55"/>
      <c r="BQ38" s="1"/>
      <c r="BR38" s="1"/>
      <c r="BS38" s="55"/>
      <c r="BT38" s="1"/>
      <c r="BU38" s="1"/>
      <c r="BV38" s="55"/>
      <c r="BW38" s="1"/>
      <c r="BX38" s="1"/>
      <c r="BY38" s="55"/>
      <c r="BZ38" s="48"/>
      <c r="CA38" s="48"/>
      <c r="CB38" s="56"/>
      <c r="CC38" s="48"/>
      <c r="CD38" s="70"/>
    </row>
    <row r="39" spans="1:82" x14ac:dyDescent="0.15">
      <c r="A39" s="68"/>
      <c r="B39" s="9"/>
      <c r="C39" s="52"/>
      <c r="D39" s="62">
        <v>0</v>
      </c>
      <c r="E39" s="1"/>
      <c r="F39" s="53"/>
      <c r="G39" s="62">
        <v>0</v>
      </c>
      <c r="H39" s="1"/>
      <c r="I39" s="53"/>
      <c r="J39" s="62">
        <v>0</v>
      </c>
      <c r="K39" s="1"/>
      <c r="L39" s="53"/>
      <c r="M39" s="62">
        <v>0</v>
      </c>
      <c r="N39" s="48"/>
      <c r="O39" s="52"/>
      <c r="P39" s="54">
        <f>SUM(D39:M39)</f>
        <v>0</v>
      </c>
      <c r="Q39" s="48"/>
      <c r="R39" s="9"/>
      <c r="S39" s="52"/>
      <c r="T39" s="62">
        <v>0</v>
      </c>
      <c r="U39" s="1"/>
      <c r="V39" s="53"/>
      <c r="W39" s="62">
        <v>0</v>
      </c>
      <c r="X39" s="1"/>
      <c r="Y39" s="53"/>
      <c r="Z39" s="62">
        <v>0</v>
      </c>
      <c r="AA39" s="1"/>
      <c r="AB39" s="53"/>
      <c r="AC39" s="62">
        <v>0</v>
      </c>
      <c r="AD39" s="48"/>
      <c r="AE39" s="52"/>
      <c r="AF39" s="54">
        <f>SUM(T39:AC39)</f>
        <v>0</v>
      </c>
      <c r="AG39" s="48"/>
      <c r="AH39" s="9"/>
      <c r="AI39" s="52"/>
      <c r="AJ39" s="62">
        <v>0</v>
      </c>
      <c r="AK39" s="1"/>
      <c r="AL39" s="53"/>
      <c r="AM39" s="62">
        <v>0</v>
      </c>
      <c r="AN39" s="1"/>
      <c r="AO39" s="53"/>
      <c r="AP39" s="62">
        <v>0</v>
      </c>
      <c r="AQ39" s="1"/>
      <c r="AR39" s="53"/>
      <c r="AS39" s="62">
        <v>0</v>
      </c>
      <c r="AT39" s="48"/>
      <c r="AU39" s="52"/>
      <c r="AV39" s="54">
        <f>SUM(AJ39:AS39)</f>
        <v>0</v>
      </c>
      <c r="AW39" s="48"/>
      <c r="AX39" s="9"/>
      <c r="AY39" s="52"/>
      <c r="AZ39" s="62">
        <v>0</v>
      </c>
      <c r="BA39" s="1"/>
      <c r="BB39" s="53"/>
      <c r="BC39" s="62">
        <v>0</v>
      </c>
      <c r="BD39" s="1"/>
      <c r="BE39" s="53"/>
      <c r="BF39" s="62">
        <v>0</v>
      </c>
      <c r="BG39" s="1"/>
      <c r="BH39" s="53"/>
      <c r="BI39" s="62">
        <v>0</v>
      </c>
      <c r="BJ39" s="48"/>
      <c r="BK39" s="52"/>
      <c r="BL39" s="54">
        <f>SUM(AZ39:BI39)</f>
        <v>0</v>
      </c>
      <c r="BM39" s="48"/>
      <c r="BN39" s="70"/>
      <c r="BO39" s="52"/>
      <c r="BP39" s="86">
        <f>+D39+T39+AJ39+AZ39</f>
        <v>0</v>
      </c>
      <c r="BQ39" s="1"/>
      <c r="BR39" s="53"/>
      <c r="BS39" s="86">
        <f>+G39+W39+AM39+BC39</f>
        <v>0</v>
      </c>
      <c r="BT39" s="1"/>
      <c r="BU39" s="53"/>
      <c r="BV39" s="86">
        <f>+J39+Z39+AP39+BF39</f>
        <v>0</v>
      </c>
      <c r="BW39" s="1"/>
      <c r="BX39" s="53"/>
      <c r="BY39" s="86">
        <f>+M39+AC39+AS39+BI39</f>
        <v>0</v>
      </c>
      <c r="BZ39" s="48"/>
      <c r="CA39" s="52"/>
      <c r="CB39" s="54">
        <f>SUM(BP39:BY39)</f>
        <v>0</v>
      </c>
      <c r="CC39" s="48"/>
      <c r="CD39" s="70"/>
    </row>
    <row r="40" spans="1:82" x14ac:dyDescent="0.15">
      <c r="A40" s="60"/>
      <c r="B40" s="9"/>
      <c r="C40" s="48"/>
      <c r="D40" s="57"/>
      <c r="E40" s="1"/>
      <c r="F40" s="1"/>
      <c r="G40" s="57"/>
      <c r="H40" s="1"/>
      <c r="I40" s="1"/>
      <c r="J40" s="57"/>
      <c r="K40" s="1"/>
      <c r="L40" s="1"/>
      <c r="M40" s="57"/>
      <c r="N40" s="48"/>
      <c r="O40" s="48"/>
      <c r="P40" s="51"/>
      <c r="Q40" s="48"/>
      <c r="R40" s="9"/>
      <c r="S40" s="48"/>
      <c r="T40" s="57"/>
      <c r="U40" s="1"/>
      <c r="V40" s="1"/>
      <c r="W40" s="57"/>
      <c r="X40" s="1"/>
      <c r="Y40" s="1"/>
      <c r="Z40" s="57"/>
      <c r="AA40" s="1"/>
      <c r="AB40" s="1"/>
      <c r="AC40" s="57"/>
      <c r="AD40" s="48"/>
      <c r="AE40" s="48"/>
      <c r="AF40" s="51"/>
      <c r="AG40" s="48"/>
      <c r="AH40" s="9"/>
      <c r="AI40" s="48"/>
      <c r="AJ40" s="57"/>
      <c r="AK40" s="1"/>
      <c r="AL40" s="1"/>
      <c r="AM40" s="57"/>
      <c r="AN40" s="1"/>
      <c r="AO40" s="1"/>
      <c r="AP40" s="57"/>
      <c r="AQ40" s="1"/>
      <c r="AR40" s="1"/>
      <c r="AS40" s="57"/>
      <c r="AT40" s="48"/>
      <c r="AU40" s="48"/>
      <c r="AV40" s="51"/>
      <c r="AW40" s="48"/>
      <c r="AX40" s="9"/>
      <c r="AY40" s="48"/>
      <c r="AZ40" s="57"/>
      <c r="BA40" s="1"/>
      <c r="BB40" s="1"/>
      <c r="BC40" s="57"/>
      <c r="BD40" s="1"/>
      <c r="BE40" s="1"/>
      <c r="BF40" s="57"/>
      <c r="BG40" s="1"/>
      <c r="BH40" s="1"/>
      <c r="BI40" s="57"/>
      <c r="BJ40" s="48"/>
      <c r="BK40" s="48"/>
      <c r="BL40" s="51"/>
      <c r="BM40" s="48"/>
      <c r="BN40" s="70"/>
      <c r="BO40" s="48"/>
      <c r="BP40" s="57"/>
      <c r="BQ40" s="1"/>
      <c r="BR40" s="1"/>
      <c r="BS40" s="57"/>
      <c r="BT40" s="1"/>
      <c r="BU40" s="1"/>
      <c r="BV40" s="57"/>
      <c r="BW40" s="1"/>
      <c r="BX40" s="1"/>
      <c r="BY40" s="57"/>
      <c r="BZ40" s="48"/>
      <c r="CA40" s="48"/>
      <c r="CB40" s="51"/>
      <c r="CC40" s="48"/>
      <c r="CD40" s="70"/>
    </row>
    <row r="41" spans="1:82" x14ac:dyDescent="0.15">
      <c r="A41" s="68"/>
      <c r="B41" s="9"/>
      <c r="C41" s="52"/>
      <c r="D41" s="62">
        <v>0</v>
      </c>
      <c r="E41" s="1"/>
      <c r="F41" s="53"/>
      <c r="G41" s="62">
        <v>0</v>
      </c>
      <c r="H41" s="1"/>
      <c r="I41" s="53"/>
      <c r="J41" s="62">
        <v>0</v>
      </c>
      <c r="K41" s="1"/>
      <c r="L41" s="53"/>
      <c r="M41" s="62">
        <v>0</v>
      </c>
      <c r="N41" s="48"/>
      <c r="O41" s="52"/>
      <c r="P41" s="54">
        <f>SUM(D41:M41)</f>
        <v>0</v>
      </c>
      <c r="Q41" s="48"/>
      <c r="R41" s="9"/>
      <c r="S41" s="52"/>
      <c r="T41" s="62">
        <v>0</v>
      </c>
      <c r="U41" s="1"/>
      <c r="V41" s="53"/>
      <c r="W41" s="62">
        <v>0</v>
      </c>
      <c r="X41" s="1"/>
      <c r="Y41" s="53"/>
      <c r="Z41" s="62">
        <v>0</v>
      </c>
      <c r="AA41" s="1"/>
      <c r="AB41" s="53"/>
      <c r="AC41" s="62">
        <v>0</v>
      </c>
      <c r="AD41" s="48"/>
      <c r="AE41" s="52"/>
      <c r="AF41" s="54">
        <f>SUM(T41:AC41)</f>
        <v>0</v>
      </c>
      <c r="AG41" s="48"/>
      <c r="AH41" s="9"/>
      <c r="AI41" s="52"/>
      <c r="AJ41" s="62">
        <v>0</v>
      </c>
      <c r="AK41" s="1"/>
      <c r="AL41" s="53"/>
      <c r="AM41" s="62">
        <v>0</v>
      </c>
      <c r="AN41" s="1"/>
      <c r="AO41" s="53"/>
      <c r="AP41" s="62">
        <v>0</v>
      </c>
      <c r="AQ41" s="1"/>
      <c r="AR41" s="53"/>
      <c r="AS41" s="62">
        <v>0</v>
      </c>
      <c r="AT41" s="48"/>
      <c r="AU41" s="52"/>
      <c r="AV41" s="54">
        <f>SUM(AJ41:AS41)</f>
        <v>0</v>
      </c>
      <c r="AW41" s="48"/>
      <c r="AX41" s="9"/>
      <c r="AY41" s="52"/>
      <c r="AZ41" s="62">
        <v>0</v>
      </c>
      <c r="BA41" s="1"/>
      <c r="BB41" s="53"/>
      <c r="BC41" s="62">
        <v>0</v>
      </c>
      <c r="BD41" s="1"/>
      <c r="BE41" s="53"/>
      <c r="BF41" s="62">
        <v>0</v>
      </c>
      <c r="BG41" s="1"/>
      <c r="BH41" s="53"/>
      <c r="BI41" s="62">
        <v>0</v>
      </c>
      <c r="BJ41" s="48"/>
      <c r="BK41" s="52"/>
      <c r="BL41" s="54">
        <f>SUM(AZ41:BI41)</f>
        <v>0</v>
      </c>
      <c r="BM41" s="48"/>
      <c r="BN41" s="70"/>
      <c r="BO41" s="52"/>
      <c r="BP41" s="86">
        <f>+D41+T41+AJ41+AZ41</f>
        <v>0</v>
      </c>
      <c r="BQ41" s="1"/>
      <c r="BR41" s="53"/>
      <c r="BS41" s="86">
        <f>+G41+W41+AM41+BC41</f>
        <v>0</v>
      </c>
      <c r="BT41" s="1"/>
      <c r="BU41" s="53"/>
      <c r="BV41" s="86">
        <f>+J41+Z41+AP41+BF41</f>
        <v>0</v>
      </c>
      <c r="BW41" s="1"/>
      <c r="BX41" s="53"/>
      <c r="BY41" s="86">
        <f>+M41+AC41+AS41+BI41</f>
        <v>0</v>
      </c>
      <c r="BZ41" s="48"/>
      <c r="CA41" s="52"/>
      <c r="CB41" s="54">
        <f>SUM(BP41:BY41)</f>
        <v>0</v>
      </c>
      <c r="CC41" s="48"/>
      <c r="CD41" s="70"/>
    </row>
    <row r="42" spans="1:82" x14ac:dyDescent="0.15">
      <c r="A42" s="60"/>
      <c r="B42" s="9"/>
      <c r="C42" s="48"/>
      <c r="D42" s="55"/>
      <c r="E42" s="1"/>
      <c r="F42" s="1"/>
      <c r="G42" s="55"/>
      <c r="H42" s="1"/>
      <c r="I42" s="1"/>
      <c r="J42" s="55"/>
      <c r="K42" s="1"/>
      <c r="L42" s="1"/>
      <c r="M42" s="55"/>
      <c r="N42" s="48"/>
      <c r="O42" s="48"/>
      <c r="P42" s="51"/>
      <c r="Q42" s="48"/>
      <c r="R42" s="9"/>
      <c r="S42" s="48"/>
      <c r="T42" s="55"/>
      <c r="U42" s="1"/>
      <c r="V42" s="1"/>
      <c r="W42" s="55"/>
      <c r="X42" s="1"/>
      <c r="Y42" s="1"/>
      <c r="Z42" s="55"/>
      <c r="AA42" s="1"/>
      <c r="AB42" s="1"/>
      <c r="AC42" s="55"/>
      <c r="AD42" s="48"/>
      <c r="AE42" s="48"/>
      <c r="AF42" s="51"/>
      <c r="AG42" s="48"/>
      <c r="AH42" s="9"/>
      <c r="AI42" s="48"/>
      <c r="AJ42" s="55"/>
      <c r="AK42" s="1"/>
      <c r="AL42" s="1"/>
      <c r="AM42" s="55"/>
      <c r="AN42" s="1"/>
      <c r="AO42" s="1"/>
      <c r="AP42" s="55"/>
      <c r="AQ42" s="1"/>
      <c r="AR42" s="1"/>
      <c r="AS42" s="55"/>
      <c r="AT42" s="48"/>
      <c r="AU42" s="48"/>
      <c r="AV42" s="51"/>
      <c r="AW42" s="48"/>
      <c r="AX42" s="9"/>
      <c r="AY42" s="48"/>
      <c r="AZ42" s="55"/>
      <c r="BA42" s="1"/>
      <c r="BB42" s="1"/>
      <c r="BC42" s="55"/>
      <c r="BD42" s="1"/>
      <c r="BE42" s="1"/>
      <c r="BF42" s="55"/>
      <c r="BG42" s="1"/>
      <c r="BH42" s="1"/>
      <c r="BI42" s="55"/>
      <c r="BJ42" s="48"/>
      <c r="BK42" s="48"/>
      <c r="BL42" s="51"/>
      <c r="BM42" s="48"/>
      <c r="BN42" s="70"/>
      <c r="BO42" s="48"/>
      <c r="BP42" s="55"/>
      <c r="BQ42" s="1"/>
      <c r="BR42" s="1"/>
      <c r="BS42" s="55"/>
      <c r="BT42" s="1"/>
      <c r="BU42" s="1"/>
      <c r="BV42" s="55"/>
      <c r="BW42" s="1"/>
      <c r="BX42" s="1"/>
      <c r="BY42" s="55"/>
      <c r="BZ42" s="48"/>
      <c r="CA42" s="48"/>
      <c r="CB42" s="51"/>
      <c r="CC42" s="48"/>
      <c r="CD42" s="70"/>
    </row>
    <row r="43" spans="1:82" x14ac:dyDescent="0.15">
      <c r="A43" s="68"/>
      <c r="B43" s="9"/>
      <c r="C43" s="52"/>
      <c r="D43" s="62">
        <v>0</v>
      </c>
      <c r="E43" s="1"/>
      <c r="F43" s="53"/>
      <c r="G43" s="62">
        <v>0</v>
      </c>
      <c r="H43" s="1"/>
      <c r="I43" s="53"/>
      <c r="J43" s="62">
        <v>0</v>
      </c>
      <c r="K43" s="1"/>
      <c r="L43" s="53"/>
      <c r="M43" s="62">
        <v>0</v>
      </c>
      <c r="N43" s="48"/>
      <c r="O43" s="52"/>
      <c r="P43" s="54">
        <f>SUM(D43:M43)</f>
        <v>0</v>
      </c>
      <c r="Q43" s="48"/>
      <c r="R43" s="9"/>
      <c r="S43" s="52"/>
      <c r="T43" s="62">
        <v>0</v>
      </c>
      <c r="U43" s="1"/>
      <c r="V43" s="53"/>
      <c r="W43" s="62">
        <v>0</v>
      </c>
      <c r="X43" s="1"/>
      <c r="Y43" s="53"/>
      <c r="Z43" s="62">
        <v>0</v>
      </c>
      <c r="AA43" s="1"/>
      <c r="AB43" s="53"/>
      <c r="AC43" s="62">
        <v>0</v>
      </c>
      <c r="AD43" s="48"/>
      <c r="AE43" s="52"/>
      <c r="AF43" s="54">
        <f>SUM(T43:AC43)</f>
        <v>0</v>
      </c>
      <c r="AG43" s="48"/>
      <c r="AH43" s="9"/>
      <c r="AI43" s="52"/>
      <c r="AJ43" s="62">
        <v>0</v>
      </c>
      <c r="AK43" s="1"/>
      <c r="AL43" s="53"/>
      <c r="AM43" s="62">
        <v>0</v>
      </c>
      <c r="AN43" s="1"/>
      <c r="AO43" s="53"/>
      <c r="AP43" s="62">
        <v>0</v>
      </c>
      <c r="AQ43" s="1"/>
      <c r="AR43" s="53"/>
      <c r="AS43" s="62">
        <v>0</v>
      </c>
      <c r="AT43" s="48"/>
      <c r="AU43" s="52"/>
      <c r="AV43" s="54">
        <f>SUM(AJ43:AS43)</f>
        <v>0</v>
      </c>
      <c r="AW43" s="48"/>
      <c r="AX43" s="9"/>
      <c r="AY43" s="52"/>
      <c r="AZ43" s="62">
        <v>0</v>
      </c>
      <c r="BA43" s="1"/>
      <c r="BB43" s="53"/>
      <c r="BC43" s="62">
        <v>0</v>
      </c>
      <c r="BD43" s="1"/>
      <c r="BE43" s="53"/>
      <c r="BF43" s="62">
        <v>0</v>
      </c>
      <c r="BG43" s="1"/>
      <c r="BH43" s="53"/>
      <c r="BI43" s="62">
        <v>0</v>
      </c>
      <c r="BJ43" s="48"/>
      <c r="BK43" s="52"/>
      <c r="BL43" s="54">
        <f>SUM(AZ43:BI43)</f>
        <v>0</v>
      </c>
      <c r="BM43" s="48"/>
      <c r="BN43" s="70"/>
      <c r="BO43" s="52"/>
      <c r="BP43" s="86">
        <f>+D43+T43+AJ43+AZ43</f>
        <v>0</v>
      </c>
      <c r="BQ43" s="1"/>
      <c r="BR43" s="53"/>
      <c r="BS43" s="86">
        <f>+G43+W43+AM43+BC43</f>
        <v>0</v>
      </c>
      <c r="BT43" s="1"/>
      <c r="BU43" s="53"/>
      <c r="BV43" s="86">
        <f>+J43+Z43+AP43+BF43</f>
        <v>0</v>
      </c>
      <c r="BW43" s="1"/>
      <c r="BX43" s="53"/>
      <c r="BY43" s="86">
        <f>+M43+AC43+AS43+BI43</f>
        <v>0</v>
      </c>
      <c r="BZ43" s="48"/>
      <c r="CA43" s="52"/>
      <c r="CB43" s="54">
        <f>SUM(BP43:BY43)</f>
        <v>0</v>
      </c>
      <c r="CC43" s="48"/>
      <c r="CD43" s="70"/>
    </row>
    <row r="44" spans="1:82" x14ac:dyDescent="0.15">
      <c r="A44" s="60"/>
      <c r="B44" s="9"/>
      <c r="C44" s="48"/>
      <c r="D44" s="57"/>
      <c r="E44" s="1"/>
      <c r="F44" s="1"/>
      <c r="G44" s="57"/>
      <c r="H44" s="1"/>
      <c r="I44" s="1"/>
      <c r="J44" s="57"/>
      <c r="K44" s="1"/>
      <c r="L44" s="1"/>
      <c r="M44" s="57"/>
      <c r="N44" s="48"/>
      <c r="O44" s="48"/>
      <c r="P44" s="51"/>
      <c r="Q44" s="48"/>
      <c r="R44" s="9"/>
      <c r="S44" s="48"/>
      <c r="T44" s="57"/>
      <c r="U44" s="1"/>
      <c r="V44" s="1"/>
      <c r="W44" s="57"/>
      <c r="X44" s="1"/>
      <c r="Y44" s="1"/>
      <c r="Z44" s="57"/>
      <c r="AA44" s="1"/>
      <c r="AB44" s="1"/>
      <c r="AC44" s="57"/>
      <c r="AD44" s="48"/>
      <c r="AE44" s="48"/>
      <c r="AF44" s="51"/>
      <c r="AG44" s="48"/>
      <c r="AH44" s="9"/>
      <c r="AI44" s="48"/>
      <c r="AJ44" s="57"/>
      <c r="AK44" s="1"/>
      <c r="AL44" s="1"/>
      <c r="AM44" s="57"/>
      <c r="AN44" s="1"/>
      <c r="AO44" s="1"/>
      <c r="AP44" s="57"/>
      <c r="AQ44" s="1"/>
      <c r="AR44" s="1"/>
      <c r="AS44" s="57"/>
      <c r="AT44" s="48"/>
      <c r="AU44" s="48"/>
      <c r="AV44" s="51"/>
      <c r="AW44" s="48"/>
      <c r="AX44" s="9"/>
      <c r="AY44" s="48"/>
      <c r="AZ44" s="57"/>
      <c r="BA44" s="1"/>
      <c r="BB44" s="1"/>
      <c r="BC44" s="57"/>
      <c r="BD44" s="1"/>
      <c r="BE44" s="1"/>
      <c r="BF44" s="57"/>
      <c r="BG44" s="1"/>
      <c r="BH44" s="1"/>
      <c r="BI44" s="57"/>
      <c r="BJ44" s="48"/>
      <c r="BK44" s="48"/>
      <c r="BL44" s="51"/>
      <c r="BM44" s="48"/>
      <c r="BN44" s="70"/>
      <c r="BO44" s="48"/>
      <c r="BP44" s="57"/>
      <c r="BQ44" s="1"/>
      <c r="BR44" s="1"/>
      <c r="BS44" s="57"/>
      <c r="BT44" s="1"/>
      <c r="BU44" s="1"/>
      <c r="BV44" s="57"/>
      <c r="BW44" s="1"/>
      <c r="BX44" s="1"/>
      <c r="BY44" s="57"/>
      <c r="BZ44" s="48"/>
      <c r="CA44" s="48"/>
      <c r="CB44" s="51"/>
      <c r="CC44" s="48"/>
      <c r="CD44" s="70"/>
    </row>
    <row r="45" spans="1:82" x14ac:dyDescent="0.15">
      <c r="A45" s="68"/>
      <c r="B45" s="9"/>
      <c r="C45" s="52"/>
      <c r="D45" s="62">
        <v>0</v>
      </c>
      <c r="E45" s="1"/>
      <c r="F45" s="53"/>
      <c r="G45" s="62">
        <v>0</v>
      </c>
      <c r="H45" s="1"/>
      <c r="I45" s="53"/>
      <c r="J45" s="62">
        <v>0</v>
      </c>
      <c r="K45" s="1"/>
      <c r="L45" s="53"/>
      <c r="M45" s="62">
        <v>0</v>
      </c>
      <c r="N45" s="48"/>
      <c r="O45" s="52"/>
      <c r="P45" s="54">
        <f>SUM(D45:M45)</f>
        <v>0</v>
      </c>
      <c r="Q45" s="48"/>
      <c r="R45" s="9"/>
      <c r="S45" s="52"/>
      <c r="T45" s="62">
        <v>0</v>
      </c>
      <c r="U45" s="1"/>
      <c r="V45" s="53"/>
      <c r="W45" s="62">
        <v>0</v>
      </c>
      <c r="X45" s="1"/>
      <c r="Y45" s="53"/>
      <c r="Z45" s="62">
        <v>0</v>
      </c>
      <c r="AA45" s="1"/>
      <c r="AB45" s="53"/>
      <c r="AC45" s="62">
        <v>0</v>
      </c>
      <c r="AD45" s="48"/>
      <c r="AE45" s="52"/>
      <c r="AF45" s="54">
        <f>SUM(T45:AC45)</f>
        <v>0</v>
      </c>
      <c r="AG45" s="48"/>
      <c r="AH45" s="9"/>
      <c r="AI45" s="52"/>
      <c r="AJ45" s="62">
        <v>0</v>
      </c>
      <c r="AK45" s="1"/>
      <c r="AL45" s="53"/>
      <c r="AM45" s="62">
        <v>0</v>
      </c>
      <c r="AN45" s="1"/>
      <c r="AO45" s="53"/>
      <c r="AP45" s="62">
        <v>0</v>
      </c>
      <c r="AQ45" s="1"/>
      <c r="AR45" s="53"/>
      <c r="AS45" s="62">
        <v>0</v>
      </c>
      <c r="AT45" s="48"/>
      <c r="AU45" s="52"/>
      <c r="AV45" s="54">
        <f>SUM(AJ45:AS45)</f>
        <v>0</v>
      </c>
      <c r="AW45" s="48"/>
      <c r="AX45" s="9"/>
      <c r="AY45" s="52"/>
      <c r="AZ45" s="62">
        <v>0</v>
      </c>
      <c r="BA45" s="1"/>
      <c r="BB45" s="53"/>
      <c r="BC45" s="62">
        <v>0</v>
      </c>
      <c r="BD45" s="1"/>
      <c r="BE45" s="53"/>
      <c r="BF45" s="62">
        <v>0</v>
      </c>
      <c r="BG45" s="1"/>
      <c r="BH45" s="53"/>
      <c r="BI45" s="62">
        <v>0</v>
      </c>
      <c r="BJ45" s="48"/>
      <c r="BK45" s="52"/>
      <c r="BL45" s="54">
        <f>SUM(AZ45:BI45)</f>
        <v>0</v>
      </c>
      <c r="BM45" s="48"/>
      <c r="BN45" s="70"/>
      <c r="BO45" s="52"/>
      <c r="BP45" s="86">
        <f>+D45+T45+AJ45+AZ45</f>
        <v>0</v>
      </c>
      <c r="BQ45" s="1"/>
      <c r="BR45" s="53"/>
      <c r="BS45" s="86">
        <f>+G45+W45+AM45+BC45</f>
        <v>0</v>
      </c>
      <c r="BT45" s="1"/>
      <c r="BU45" s="53"/>
      <c r="BV45" s="86">
        <f>+J45+Z45+AP45+BF45</f>
        <v>0</v>
      </c>
      <c r="BW45" s="1"/>
      <c r="BX45" s="53"/>
      <c r="BY45" s="86">
        <f>+M45+AC45+AS45+BI45</f>
        <v>0</v>
      </c>
      <c r="BZ45" s="48"/>
      <c r="CA45" s="52"/>
      <c r="CB45" s="54">
        <f>SUM(BP45:BY45)</f>
        <v>0</v>
      </c>
      <c r="CC45" s="48"/>
      <c r="CD45" s="70"/>
    </row>
    <row r="46" spans="1:82" x14ac:dyDescent="0.15">
      <c r="A46" s="61"/>
      <c r="B46" s="9"/>
      <c r="C46" s="48"/>
      <c r="D46" s="55"/>
      <c r="E46" s="1"/>
      <c r="F46" s="1"/>
      <c r="G46" s="55"/>
      <c r="H46" s="1"/>
      <c r="I46" s="1"/>
      <c r="J46" s="55"/>
      <c r="K46" s="1"/>
      <c r="L46" s="1"/>
      <c r="M46" s="55"/>
      <c r="N46" s="48"/>
      <c r="O46" s="48"/>
      <c r="P46" s="56"/>
      <c r="Q46" s="48"/>
      <c r="R46" s="9"/>
      <c r="S46" s="48"/>
      <c r="T46" s="55"/>
      <c r="U46" s="1"/>
      <c r="V46" s="1"/>
      <c r="W46" s="55"/>
      <c r="X46" s="1"/>
      <c r="Y46" s="1"/>
      <c r="Z46" s="55"/>
      <c r="AA46" s="1"/>
      <c r="AB46" s="1"/>
      <c r="AC46" s="55"/>
      <c r="AD46" s="48"/>
      <c r="AE46" s="48"/>
      <c r="AF46" s="56"/>
      <c r="AG46" s="48"/>
      <c r="AH46" s="9"/>
      <c r="AI46" s="48"/>
      <c r="AJ46" s="55"/>
      <c r="AK46" s="1"/>
      <c r="AL46" s="1"/>
      <c r="AM46" s="55"/>
      <c r="AN46" s="1"/>
      <c r="AO46" s="1"/>
      <c r="AP46" s="55"/>
      <c r="AQ46" s="1"/>
      <c r="AR46" s="1"/>
      <c r="AS46" s="55"/>
      <c r="AT46" s="48"/>
      <c r="AU46" s="48"/>
      <c r="AV46" s="56"/>
      <c r="AW46" s="48"/>
      <c r="AX46" s="9"/>
      <c r="AY46" s="48"/>
      <c r="AZ46" s="55"/>
      <c r="BA46" s="1"/>
      <c r="BB46" s="1"/>
      <c r="BC46" s="55"/>
      <c r="BD46" s="1"/>
      <c r="BE46" s="1"/>
      <c r="BF46" s="55"/>
      <c r="BG46" s="1"/>
      <c r="BH46" s="1"/>
      <c r="BI46" s="55"/>
      <c r="BJ46" s="48"/>
      <c r="BK46" s="48"/>
      <c r="BL46" s="56"/>
      <c r="BM46" s="48"/>
      <c r="BN46" s="70"/>
      <c r="BO46" s="48"/>
      <c r="BP46" s="55"/>
      <c r="BQ46" s="1"/>
      <c r="BR46" s="1"/>
      <c r="BS46" s="55"/>
      <c r="BT46" s="1"/>
      <c r="BU46" s="1"/>
      <c r="BV46" s="55"/>
      <c r="BW46" s="1"/>
      <c r="BX46" s="1"/>
      <c r="BY46" s="55"/>
      <c r="BZ46" s="48"/>
      <c r="CA46" s="48"/>
      <c r="CB46" s="56"/>
      <c r="CC46" s="48"/>
      <c r="CD46" s="70"/>
    </row>
    <row r="47" spans="1:82" x14ac:dyDescent="0.15">
      <c r="A47" s="68"/>
      <c r="B47" s="9"/>
      <c r="C47" s="52"/>
      <c r="D47" s="62">
        <v>0</v>
      </c>
      <c r="E47" s="1"/>
      <c r="F47" s="53"/>
      <c r="G47" s="62">
        <v>0</v>
      </c>
      <c r="H47" s="1"/>
      <c r="I47" s="53"/>
      <c r="J47" s="62">
        <v>0</v>
      </c>
      <c r="K47" s="1"/>
      <c r="L47" s="53"/>
      <c r="M47" s="62">
        <v>0</v>
      </c>
      <c r="N47" s="48"/>
      <c r="O47" s="52"/>
      <c r="P47" s="54">
        <f>SUM(D47:M47)</f>
        <v>0</v>
      </c>
      <c r="Q47" s="48"/>
      <c r="R47" s="9"/>
      <c r="S47" s="52"/>
      <c r="T47" s="62">
        <v>0</v>
      </c>
      <c r="U47" s="1"/>
      <c r="V47" s="53"/>
      <c r="W47" s="62">
        <v>0</v>
      </c>
      <c r="X47" s="1"/>
      <c r="Y47" s="53"/>
      <c r="Z47" s="62">
        <v>0</v>
      </c>
      <c r="AA47" s="1"/>
      <c r="AB47" s="53"/>
      <c r="AC47" s="62">
        <v>0</v>
      </c>
      <c r="AD47" s="48"/>
      <c r="AE47" s="52"/>
      <c r="AF47" s="54">
        <f>SUM(T47:AC47)</f>
        <v>0</v>
      </c>
      <c r="AG47" s="48"/>
      <c r="AH47" s="9"/>
      <c r="AI47" s="52"/>
      <c r="AJ47" s="62">
        <v>0</v>
      </c>
      <c r="AK47" s="1"/>
      <c r="AL47" s="53"/>
      <c r="AM47" s="62">
        <v>0</v>
      </c>
      <c r="AN47" s="1"/>
      <c r="AO47" s="53"/>
      <c r="AP47" s="62">
        <v>0</v>
      </c>
      <c r="AQ47" s="1"/>
      <c r="AR47" s="53"/>
      <c r="AS47" s="62">
        <v>0</v>
      </c>
      <c r="AT47" s="48"/>
      <c r="AU47" s="52"/>
      <c r="AV47" s="54">
        <f>SUM(AJ47:AS47)</f>
        <v>0</v>
      </c>
      <c r="AW47" s="48"/>
      <c r="AX47" s="9"/>
      <c r="AY47" s="52"/>
      <c r="AZ47" s="62">
        <v>0</v>
      </c>
      <c r="BA47" s="1"/>
      <c r="BB47" s="53"/>
      <c r="BC47" s="62">
        <v>0</v>
      </c>
      <c r="BD47" s="1"/>
      <c r="BE47" s="53"/>
      <c r="BF47" s="62">
        <v>0</v>
      </c>
      <c r="BG47" s="1"/>
      <c r="BH47" s="53"/>
      <c r="BI47" s="62">
        <v>0</v>
      </c>
      <c r="BJ47" s="48"/>
      <c r="BK47" s="52"/>
      <c r="BL47" s="54">
        <f>SUM(AZ47:BI47)</f>
        <v>0</v>
      </c>
      <c r="BM47" s="48"/>
      <c r="BN47" s="70"/>
      <c r="BO47" s="52"/>
      <c r="BP47" s="86">
        <f>+D47+T47+AJ47+AZ47</f>
        <v>0</v>
      </c>
      <c r="BQ47" s="1"/>
      <c r="BR47" s="53"/>
      <c r="BS47" s="86">
        <f>+G47+W47+AM47+BC47</f>
        <v>0</v>
      </c>
      <c r="BT47" s="1"/>
      <c r="BU47" s="53"/>
      <c r="BV47" s="86">
        <f>+J47+Z47+AP47+BF47</f>
        <v>0</v>
      </c>
      <c r="BW47" s="1"/>
      <c r="BX47" s="53"/>
      <c r="BY47" s="86">
        <f>+M47+AC47+AS47+BI47</f>
        <v>0</v>
      </c>
      <c r="BZ47" s="48"/>
      <c r="CA47" s="52"/>
      <c r="CB47" s="54">
        <f>SUM(BP47:BY47)</f>
        <v>0</v>
      </c>
      <c r="CC47" s="48"/>
      <c r="CD47" s="70"/>
    </row>
    <row r="48" spans="1:82" x14ac:dyDescent="0.15">
      <c r="A48" s="60"/>
      <c r="B48" s="9"/>
      <c r="C48" s="48"/>
      <c r="D48" s="57"/>
      <c r="E48" s="1"/>
      <c r="F48" s="1"/>
      <c r="G48" s="57"/>
      <c r="H48" s="1"/>
      <c r="I48" s="1"/>
      <c r="J48" s="57"/>
      <c r="K48" s="1"/>
      <c r="L48" s="1"/>
      <c r="M48" s="57"/>
      <c r="N48" s="48"/>
      <c r="O48" s="48"/>
      <c r="P48" s="51"/>
      <c r="Q48" s="48"/>
      <c r="R48" s="9"/>
      <c r="S48" s="48"/>
      <c r="T48" s="57"/>
      <c r="U48" s="1"/>
      <c r="V48" s="1"/>
      <c r="W48" s="57"/>
      <c r="X48" s="1"/>
      <c r="Y48" s="1"/>
      <c r="Z48" s="57"/>
      <c r="AA48" s="1"/>
      <c r="AB48" s="1"/>
      <c r="AC48" s="57"/>
      <c r="AD48" s="48"/>
      <c r="AE48" s="48"/>
      <c r="AF48" s="51"/>
      <c r="AG48" s="48"/>
      <c r="AH48" s="9"/>
      <c r="AI48" s="48"/>
      <c r="AJ48" s="57"/>
      <c r="AK48" s="1"/>
      <c r="AL48" s="1"/>
      <c r="AM48" s="57"/>
      <c r="AN48" s="1"/>
      <c r="AO48" s="1"/>
      <c r="AP48" s="57"/>
      <c r="AQ48" s="1"/>
      <c r="AR48" s="1"/>
      <c r="AS48" s="57"/>
      <c r="AT48" s="48"/>
      <c r="AU48" s="48"/>
      <c r="AV48" s="51"/>
      <c r="AW48" s="48"/>
      <c r="AX48" s="9"/>
      <c r="AY48" s="48"/>
      <c r="AZ48" s="57"/>
      <c r="BA48" s="1"/>
      <c r="BB48" s="1"/>
      <c r="BC48" s="57"/>
      <c r="BD48" s="1"/>
      <c r="BE48" s="1"/>
      <c r="BF48" s="57"/>
      <c r="BG48" s="1"/>
      <c r="BH48" s="1"/>
      <c r="BI48" s="57"/>
      <c r="BJ48" s="48"/>
      <c r="BK48" s="48"/>
      <c r="BL48" s="51"/>
      <c r="BM48" s="48"/>
      <c r="BN48" s="70"/>
      <c r="BO48" s="48"/>
      <c r="BP48" s="57"/>
      <c r="BQ48" s="1"/>
      <c r="BR48" s="1"/>
      <c r="BS48" s="57"/>
      <c r="BT48" s="1"/>
      <c r="BU48" s="1"/>
      <c r="BV48" s="57"/>
      <c r="BW48" s="1"/>
      <c r="BX48" s="1"/>
      <c r="BY48" s="57"/>
      <c r="BZ48" s="48"/>
      <c r="CA48" s="48"/>
      <c r="CB48" s="51"/>
      <c r="CC48" s="48"/>
      <c r="CD48" s="70"/>
    </row>
    <row r="49" spans="1:82" x14ac:dyDescent="0.15">
      <c r="A49" s="68"/>
      <c r="B49" s="9"/>
      <c r="C49" s="52"/>
      <c r="D49" s="62">
        <v>0</v>
      </c>
      <c r="E49" s="1"/>
      <c r="F49" s="53"/>
      <c r="G49" s="62">
        <v>0</v>
      </c>
      <c r="H49" s="1"/>
      <c r="I49" s="53"/>
      <c r="J49" s="62">
        <v>0</v>
      </c>
      <c r="K49" s="1"/>
      <c r="L49" s="53"/>
      <c r="M49" s="62">
        <v>0</v>
      </c>
      <c r="N49" s="48"/>
      <c r="O49" s="52"/>
      <c r="P49" s="54">
        <f>SUM(D49:M49)</f>
        <v>0</v>
      </c>
      <c r="Q49" s="48"/>
      <c r="R49" s="9"/>
      <c r="S49" s="52"/>
      <c r="T49" s="62">
        <v>0</v>
      </c>
      <c r="U49" s="1"/>
      <c r="V49" s="53"/>
      <c r="W49" s="62">
        <v>0</v>
      </c>
      <c r="X49" s="1"/>
      <c r="Y49" s="53"/>
      <c r="Z49" s="62">
        <v>0</v>
      </c>
      <c r="AA49" s="1"/>
      <c r="AB49" s="53"/>
      <c r="AC49" s="62">
        <v>0</v>
      </c>
      <c r="AD49" s="48"/>
      <c r="AE49" s="52"/>
      <c r="AF49" s="54">
        <f>SUM(T49:AC49)</f>
        <v>0</v>
      </c>
      <c r="AG49" s="48"/>
      <c r="AH49" s="9"/>
      <c r="AI49" s="52"/>
      <c r="AJ49" s="62">
        <v>0</v>
      </c>
      <c r="AK49" s="1"/>
      <c r="AL49" s="53"/>
      <c r="AM49" s="62">
        <v>0</v>
      </c>
      <c r="AN49" s="1"/>
      <c r="AO49" s="53"/>
      <c r="AP49" s="62">
        <v>0</v>
      </c>
      <c r="AQ49" s="1"/>
      <c r="AR49" s="53"/>
      <c r="AS49" s="62">
        <v>0</v>
      </c>
      <c r="AT49" s="48"/>
      <c r="AU49" s="52"/>
      <c r="AV49" s="54">
        <f>SUM(AJ49:AS49)</f>
        <v>0</v>
      </c>
      <c r="AW49" s="48"/>
      <c r="AX49" s="9"/>
      <c r="AY49" s="52"/>
      <c r="AZ49" s="62">
        <v>0</v>
      </c>
      <c r="BA49" s="1"/>
      <c r="BB49" s="53"/>
      <c r="BC49" s="62">
        <v>0</v>
      </c>
      <c r="BD49" s="1"/>
      <c r="BE49" s="53"/>
      <c r="BF49" s="62">
        <v>0</v>
      </c>
      <c r="BG49" s="1"/>
      <c r="BH49" s="53"/>
      <c r="BI49" s="62">
        <v>0</v>
      </c>
      <c r="BJ49" s="48"/>
      <c r="BK49" s="52"/>
      <c r="BL49" s="54">
        <f>SUM(AZ49:BI49)</f>
        <v>0</v>
      </c>
      <c r="BM49" s="48"/>
      <c r="BN49" s="70"/>
      <c r="BO49" s="52"/>
      <c r="BP49" s="86">
        <f>+D49+T49+AJ49+AZ49</f>
        <v>0</v>
      </c>
      <c r="BQ49" s="1"/>
      <c r="BR49" s="53"/>
      <c r="BS49" s="86">
        <f>+G49+W49+AM49+BC49</f>
        <v>0</v>
      </c>
      <c r="BT49" s="1"/>
      <c r="BU49" s="53"/>
      <c r="BV49" s="86">
        <f>+J49+Z49+AP49+BF49</f>
        <v>0</v>
      </c>
      <c r="BW49" s="1"/>
      <c r="BX49" s="53"/>
      <c r="BY49" s="86">
        <f>+M49+AC49+AS49+BI49</f>
        <v>0</v>
      </c>
      <c r="BZ49" s="48"/>
      <c r="CA49" s="52"/>
      <c r="CB49" s="54">
        <f>SUM(BP49:BY49)</f>
        <v>0</v>
      </c>
      <c r="CC49" s="48"/>
      <c r="CD49" s="70"/>
    </row>
    <row r="50" spans="1:82" x14ac:dyDescent="0.15">
      <c r="A50" s="60"/>
      <c r="B50" s="9"/>
      <c r="C50" s="48"/>
      <c r="D50" s="55"/>
      <c r="E50" s="1"/>
      <c r="F50" s="1"/>
      <c r="G50" s="55"/>
      <c r="H50" s="1"/>
      <c r="I50" s="1"/>
      <c r="J50" s="55"/>
      <c r="K50" s="1"/>
      <c r="L50" s="1"/>
      <c r="M50" s="55"/>
      <c r="N50" s="48"/>
      <c r="O50" s="48"/>
      <c r="P50" s="51"/>
      <c r="Q50" s="48"/>
      <c r="R50" s="9"/>
      <c r="S50" s="48"/>
      <c r="T50" s="55"/>
      <c r="U50" s="1"/>
      <c r="V50" s="1"/>
      <c r="W50" s="55"/>
      <c r="X50" s="1"/>
      <c r="Y50" s="1"/>
      <c r="Z50" s="55"/>
      <c r="AA50" s="1"/>
      <c r="AB50" s="1"/>
      <c r="AC50" s="55"/>
      <c r="AD50" s="48"/>
      <c r="AE50" s="48"/>
      <c r="AF50" s="51"/>
      <c r="AG50" s="48"/>
      <c r="AH50" s="9"/>
      <c r="AI50" s="48"/>
      <c r="AJ50" s="55"/>
      <c r="AK50" s="1"/>
      <c r="AL50" s="1"/>
      <c r="AM50" s="55"/>
      <c r="AN50" s="1"/>
      <c r="AO50" s="1"/>
      <c r="AP50" s="55"/>
      <c r="AQ50" s="1"/>
      <c r="AR50" s="1"/>
      <c r="AS50" s="55"/>
      <c r="AT50" s="48"/>
      <c r="AU50" s="48"/>
      <c r="AV50" s="51"/>
      <c r="AW50" s="48"/>
      <c r="AX50" s="9"/>
      <c r="AY50" s="48"/>
      <c r="AZ50" s="55"/>
      <c r="BA50" s="1"/>
      <c r="BB50" s="1"/>
      <c r="BC50" s="55"/>
      <c r="BD50" s="1"/>
      <c r="BE50" s="1"/>
      <c r="BF50" s="55"/>
      <c r="BG50" s="1"/>
      <c r="BH50" s="1"/>
      <c r="BI50" s="55"/>
      <c r="BJ50" s="48"/>
      <c r="BK50" s="48"/>
      <c r="BL50" s="51"/>
      <c r="BM50" s="48"/>
      <c r="BN50" s="70"/>
      <c r="BO50" s="48"/>
      <c r="BP50" s="55"/>
      <c r="BQ50" s="1"/>
      <c r="BR50" s="1"/>
      <c r="BS50" s="55"/>
      <c r="BT50" s="1"/>
      <c r="BU50" s="1"/>
      <c r="BV50" s="55"/>
      <c r="BW50" s="1"/>
      <c r="BX50" s="1"/>
      <c r="BY50" s="55"/>
      <c r="BZ50" s="48"/>
      <c r="CA50" s="48"/>
      <c r="CB50" s="51"/>
      <c r="CC50" s="48"/>
      <c r="CD50" s="70"/>
    </row>
    <row r="51" spans="1:82" x14ac:dyDescent="0.15">
      <c r="A51" s="68"/>
      <c r="B51" s="9"/>
      <c r="C51" s="52"/>
      <c r="D51" s="62">
        <v>0</v>
      </c>
      <c r="E51" s="1"/>
      <c r="F51" s="53"/>
      <c r="G51" s="62">
        <v>0</v>
      </c>
      <c r="H51" s="1"/>
      <c r="I51" s="53"/>
      <c r="J51" s="62">
        <v>0</v>
      </c>
      <c r="K51" s="1"/>
      <c r="L51" s="53"/>
      <c r="M51" s="62">
        <v>0</v>
      </c>
      <c r="N51" s="48"/>
      <c r="O51" s="52"/>
      <c r="P51" s="54">
        <f>SUM(D51:M51)</f>
        <v>0</v>
      </c>
      <c r="Q51" s="48"/>
      <c r="R51" s="9"/>
      <c r="S51" s="52"/>
      <c r="T51" s="62">
        <v>0</v>
      </c>
      <c r="U51" s="1"/>
      <c r="V51" s="53"/>
      <c r="W51" s="62">
        <v>0</v>
      </c>
      <c r="X51" s="1"/>
      <c r="Y51" s="53"/>
      <c r="Z51" s="62">
        <v>0</v>
      </c>
      <c r="AA51" s="1"/>
      <c r="AB51" s="53"/>
      <c r="AC51" s="62">
        <v>0</v>
      </c>
      <c r="AD51" s="48"/>
      <c r="AE51" s="52"/>
      <c r="AF51" s="54">
        <f>SUM(T51:AC51)</f>
        <v>0</v>
      </c>
      <c r="AG51" s="48"/>
      <c r="AH51" s="9"/>
      <c r="AI51" s="52"/>
      <c r="AJ51" s="62">
        <v>0</v>
      </c>
      <c r="AK51" s="1"/>
      <c r="AL51" s="53"/>
      <c r="AM51" s="62">
        <v>0</v>
      </c>
      <c r="AN51" s="1"/>
      <c r="AO51" s="53"/>
      <c r="AP51" s="62">
        <v>0</v>
      </c>
      <c r="AQ51" s="1"/>
      <c r="AR51" s="53"/>
      <c r="AS51" s="62">
        <v>0</v>
      </c>
      <c r="AT51" s="48"/>
      <c r="AU51" s="52"/>
      <c r="AV51" s="54">
        <f>SUM(AJ51:AS51)</f>
        <v>0</v>
      </c>
      <c r="AW51" s="48"/>
      <c r="AX51" s="9"/>
      <c r="AY51" s="52"/>
      <c r="AZ51" s="62">
        <v>0</v>
      </c>
      <c r="BA51" s="1"/>
      <c r="BB51" s="53"/>
      <c r="BC51" s="62">
        <v>0</v>
      </c>
      <c r="BD51" s="1"/>
      <c r="BE51" s="53"/>
      <c r="BF51" s="62">
        <v>0</v>
      </c>
      <c r="BG51" s="1"/>
      <c r="BH51" s="53"/>
      <c r="BI51" s="62">
        <v>0</v>
      </c>
      <c r="BJ51" s="48"/>
      <c r="BK51" s="52"/>
      <c r="BL51" s="54">
        <f>SUM(AZ51:BI51)</f>
        <v>0</v>
      </c>
      <c r="BM51" s="48"/>
      <c r="BN51" s="70"/>
      <c r="BO51" s="52"/>
      <c r="BP51" s="86">
        <f>+D51+T51+AJ51+AZ51</f>
        <v>0</v>
      </c>
      <c r="BQ51" s="1"/>
      <c r="BR51" s="53"/>
      <c r="BS51" s="86">
        <f>+G51+W51+AM51+BC51</f>
        <v>0</v>
      </c>
      <c r="BT51" s="1"/>
      <c r="BU51" s="53"/>
      <c r="BV51" s="86">
        <f>+J51+Z51+AP51+BF51</f>
        <v>0</v>
      </c>
      <c r="BW51" s="1"/>
      <c r="BX51" s="53"/>
      <c r="BY51" s="86">
        <f>+M51+AC51+AS51+BI51</f>
        <v>0</v>
      </c>
      <c r="BZ51" s="48"/>
      <c r="CA51" s="52"/>
      <c r="CB51" s="54">
        <f>SUM(BP51:BY51)</f>
        <v>0</v>
      </c>
      <c r="CC51" s="48"/>
      <c r="CD51" s="70"/>
    </row>
    <row r="52" spans="1:82" x14ac:dyDescent="0.15">
      <c r="A52" s="61"/>
      <c r="B52" s="9"/>
      <c r="C52" s="48"/>
      <c r="D52" s="55"/>
      <c r="E52" s="1"/>
      <c r="F52" s="1"/>
      <c r="G52" s="55"/>
      <c r="H52" s="1"/>
      <c r="I52" s="1"/>
      <c r="J52" s="55"/>
      <c r="K52" s="1"/>
      <c r="L52" s="1"/>
      <c r="M52" s="55"/>
      <c r="N52" s="48"/>
      <c r="O52" s="48"/>
      <c r="P52" s="56"/>
      <c r="Q52" s="48"/>
      <c r="R52" s="9"/>
      <c r="S52" s="48"/>
      <c r="T52" s="55"/>
      <c r="U52" s="1"/>
      <c r="V52" s="1"/>
      <c r="W52" s="55"/>
      <c r="X52" s="1"/>
      <c r="Y52" s="1"/>
      <c r="Z52" s="55"/>
      <c r="AA52" s="1"/>
      <c r="AB52" s="1"/>
      <c r="AC52" s="55"/>
      <c r="AD52" s="48"/>
      <c r="AE52" s="48"/>
      <c r="AF52" s="56"/>
      <c r="AG52" s="48"/>
      <c r="AH52" s="9"/>
      <c r="AI52" s="48"/>
      <c r="AJ52" s="55"/>
      <c r="AK52" s="1"/>
      <c r="AL52" s="1"/>
      <c r="AM52" s="55"/>
      <c r="AN52" s="1"/>
      <c r="AO52" s="1"/>
      <c r="AP52" s="55"/>
      <c r="AQ52" s="1"/>
      <c r="AR52" s="1"/>
      <c r="AS52" s="55"/>
      <c r="AT52" s="48"/>
      <c r="AU52" s="48"/>
      <c r="AV52" s="56"/>
      <c r="AW52" s="48"/>
      <c r="AX52" s="9"/>
      <c r="AY52" s="48"/>
      <c r="AZ52" s="55"/>
      <c r="BA52" s="1"/>
      <c r="BB52" s="1"/>
      <c r="BC52" s="55"/>
      <c r="BD52" s="1"/>
      <c r="BE52" s="1"/>
      <c r="BF52" s="55"/>
      <c r="BG52" s="1"/>
      <c r="BH52" s="1"/>
      <c r="BI52" s="55"/>
      <c r="BJ52" s="48"/>
      <c r="BK52" s="48"/>
      <c r="BL52" s="56"/>
      <c r="BM52" s="48"/>
      <c r="BN52" s="70"/>
      <c r="BO52" s="48"/>
      <c r="BP52" s="55"/>
      <c r="BQ52" s="1"/>
      <c r="BR52" s="1"/>
      <c r="BS52" s="55"/>
      <c r="BT52" s="1"/>
      <c r="BU52" s="1"/>
      <c r="BV52" s="55"/>
      <c r="BW52" s="1"/>
      <c r="BX52" s="1"/>
      <c r="BY52" s="55"/>
      <c r="BZ52" s="48"/>
      <c r="CA52" s="48"/>
      <c r="CB52" s="56"/>
      <c r="CC52" s="48"/>
      <c r="CD52" s="70"/>
    </row>
    <row r="53" spans="1:82" x14ac:dyDescent="0.15">
      <c r="A53" s="68"/>
      <c r="B53" s="9"/>
      <c r="C53" s="52"/>
      <c r="D53" s="62">
        <v>0</v>
      </c>
      <c r="E53" s="1"/>
      <c r="F53" s="53"/>
      <c r="G53" s="62">
        <v>0</v>
      </c>
      <c r="H53" s="1"/>
      <c r="I53" s="53"/>
      <c r="J53" s="62">
        <v>0</v>
      </c>
      <c r="K53" s="1"/>
      <c r="L53" s="53"/>
      <c r="M53" s="62">
        <v>0</v>
      </c>
      <c r="N53" s="48"/>
      <c r="O53" s="52"/>
      <c r="P53" s="54">
        <f>SUM(D53:M53)</f>
        <v>0</v>
      </c>
      <c r="Q53" s="48"/>
      <c r="R53" s="9"/>
      <c r="S53" s="52"/>
      <c r="T53" s="62">
        <v>0</v>
      </c>
      <c r="U53" s="1"/>
      <c r="V53" s="53"/>
      <c r="W53" s="62">
        <v>0</v>
      </c>
      <c r="X53" s="1"/>
      <c r="Y53" s="53"/>
      <c r="Z53" s="62">
        <v>0</v>
      </c>
      <c r="AA53" s="1"/>
      <c r="AB53" s="53"/>
      <c r="AC53" s="62">
        <v>0</v>
      </c>
      <c r="AD53" s="48"/>
      <c r="AE53" s="52"/>
      <c r="AF53" s="54">
        <f>SUM(T53:AC53)</f>
        <v>0</v>
      </c>
      <c r="AG53" s="48"/>
      <c r="AH53" s="9"/>
      <c r="AI53" s="52"/>
      <c r="AJ53" s="62">
        <v>0</v>
      </c>
      <c r="AK53" s="1"/>
      <c r="AL53" s="53"/>
      <c r="AM53" s="62">
        <v>0</v>
      </c>
      <c r="AN53" s="1"/>
      <c r="AO53" s="53"/>
      <c r="AP53" s="62">
        <v>0</v>
      </c>
      <c r="AQ53" s="1"/>
      <c r="AR53" s="53"/>
      <c r="AS53" s="62">
        <v>0</v>
      </c>
      <c r="AT53" s="48"/>
      <c r="AU53" s="52"/>
      <c r="AV53" s="54">
        <f>SUM(AJ53:AS53)</f>
        <v>0</v>
      </c>
      <c r="AW53" s="48"/>
      <c r="AX53" s="9"/>
      <c r="AY53" s="52"/>
      <c r="AZ53" s="62">
        <v>0</v>
      </c>
      <c r="BA53" s="1"/>
      <c r="BB53" s="53"/>
      <c r="BC53" s="62">
        <v>0</v>
      </c>
      <c r="BD53" s="1"/>
      <c r="BE53" s="53"/>
      <c r="BF53" s="62">
        <v>0</v>
      </c>
      <c r="BG53" s="1"/>
      <c r="BH53" s="53"/>
      <c r="BI53" s="62">
        <v>0</v>
      </c>
      <c r="BJ53" s="48"/>
      <c r="BK53" s="52"/>
      <c r="BL53" s="54">
        <f>SUM(AZ53:BI53)</f>
        <v>0</v>
      </c>
      <c r="BM53" s="48"/>
      <c r="BN53" s="70"/>
      <c r="BO53" s="52"/>
      <c r="BP53" s="86">
        <f>+D53+T53+AJ53+AZ53</f>
        <v>0</v>
      </c>
      <c r="BQ53" s="1"/>
      <c r="BR53" s="53"/>
      <c r="BS53" s="86">
        <f>+G53+W53+AM53+BC53</f>
        <v>0</v>
      </c>
      <c r="BT53" s="1"/>
      <c r="BU53" s="53"/>
      <c r="BV53" s="86">
        <f>+J53+Z53+AP53+BF53</f>
        <v>0</v>
      </c>
      <c r="BW53" s="1"/>
      <c r="BX53" s="53"/>
      <c r="BY53" s="86">
        <f>+M53+AC53+AS53+BI53</f>
        <v>0</v>
      </c>
      <c r="BZ53" s="48"/>
      <c r="CA53" s="52"/>
      <c r="CB53" s="54">
        <f>SUM(BP53:BY53)</f>
        <v>0</v>
      </c>
      <c r="CC53" s="48"/>
      <c r="CD53" s="70"/>
    </row>
    <row r="54" spans="1:82" x14ac:dyDescent="0.15">
      <c r="A54" s="60"/>
      <c r="B54" s="9"/>
      <c r="C54" s="48"/>
      <c r="D54" s="57"/>
      <c r="E54" s="1"/>
      <c r="F54" s="1"/>
      <c r="G54" s="57"/>
      <c r="H54" s="1"/>
      <c r="I54" s="1"/>
      <c r="J54" s="57"/>
      <c r="K54" s="1"/>
      <c r="L54" s="1"/>
      <c r="M54" s="57"/>
      <c r="N54" s="48"/>
      <c r="O54" s="48"/>
      <c r="P54" s="51"/>
      <c r="Q54" s="48"/>
      <c r="R54" s="9"/>
      <c r="S54" s="48"/>
      <c r="T54" s="57"/>
      <c r="U54" s="1"/>
      <c r="V54" s="1"/>
      <c r="W54" s="57"/>
      <c r="X54" s="1"/>
      <c r="Y54" s="1"/>
      <c r="Z54" s="57"/>
      <c r="AA54" s="1"/>
      <c r="AB54" s="1"/>
      <c r="AC54" s="57"/>
      <c r="AD54" s="48"/>
      <c r="AE54" s="48"/>
      <c r="AF54" s="51"/>
      <c r="AG54" s="48"/>
      <c r="AH54" s="9"/>
      <c r="AI54" s="48"/>
      <c r="AJ54" s="57"/>
      <c r="AK54" s="1"/>
      <c r="AL54" s="1"/>
      <c r="AM54" s="57"/>
      <c r="AN54" s="1"/>
      <c r="AO54" s="1"/>
      <c r="AP54" s="57"/>
      <c r="AQ54" s="1"/>
      <c r="AR54" s="1"/>
      <c r="AS54" s="57"/>
      <c r="AT54" s="48"/>
      <c r="AU54" s="48"/>
      <c r="AV54" s="51"/>
      <c r="AW54" s="48"/>
      <c r="AX54" s="9"/>
      <c r="AY54" s="48"/>
      <c r="AZ54" s="57"/>
      <c r="BA54" s="1"/>
      <c r="BB54" s="1"/>
      <c r="BC54" s="57"/>
      <c r="BD54" s="1"/>
      <c r="BE54" s="1"/>
      <c r="BF54" s="57"/>
      <c r="BG54" s="1"/>
      <c r="BH54" s="1"/>
      <c r="BI54" s="57"/>
      <c r="BJ54" s="48"/>
      <c r="BK54" s="48"/>
      <c r="BL54" s="51"/>
      <c r="BM54" s="48"/>
      <c r="BN54" s="70"/>
      <c r="BO54" s="48"/>
      <c r="BP54" s="57"/>
      <c r="BQ54" s="1"/>
      <c r="BR54" s="1"/>
      <c r="BS54" s="57"/>
      <c r="BT54" s="1"/>
      <c r="BU54" s="1"/>
      <c r="BV54" s="57"/>
      <c r="BW54" s="1"/>
      <c r="BX54" s="1"/>
      <c r="BY54" s="57"/>
      <c r="BZ54" s="48"/>
      <c r="CA54" s="48"/>
      <c r="CB54" s="51"/>
      <c r="CC54" s="48"/>
      <c r="CD54" s="70"/>
    </row>
    <row r="55" spans="1:82" x14ac:dyDescent="0.15">
      <c r="A55" s="68"/>
      <c r="B55" s="9"/>
      <c r="C55" s="52"/>
      <c r="D55" s="62">
        <v>0</v>
      </c>
      <c r="E55" s="1"/>
      <c r="F55" s="53"/>
      <c r="G55" s="62">
        <v>0</v>
      </c>
      <c r="H55" s="1"/>
      <c r="I55" s="53"/>
      <c r="J55" s="62">
        <v>0</v>
      </c>
      <c r="K55" s="1"/>
      <c r="L55" s="53"/>
      <c r="M55" s="62">
        <v>0</v>
      </c>
      <c r="N55" s="48"/>
      <c r="O55" s="52"/>
      <c r="P55" s="54">
        <f>SUM(D55:M55)</f>
        <v>0</v>
      </c>
      <c r="Q55" s="48"/>
      <c r="R55" s="9"/>
      <c r="S55" s="52"/>
      <c r="T55" s="62">
        <v>0</v>
      </c>
      <c r="U55" s="1"/>
      <c r="V55" s="53"/>
      <c r="W55" s="62">
        <v>0</v>
      </c>
      <c r="X55" s="1"/>
      <c r="Y55" s="53"/>
      <c r="Z55" s="62">
        <v>0</v>
      </c>
      <c r="AA55" s="1"/>
      <c r="AB55" s="53"/>
      <c r="AC55" s="62">
        <v>0</v>
      </c>
      <c r="AD55" s="48"/>
      <c r="AE55" s="52"/>
      <c r="AF55" s="54">
        <f>SUM(T55:AC55)</f>
        <v>0</v>
      </c>
      <c r="AG55" s="48"/>
      <c r="AH55" s="9"/>
      <c r="AI55" s="52"/>
      <c r="AJ55" s="62">
        <v>0</v>
      </c>
      <c r="AK55" s="1"/>
      <c r="AL55" s="53"/>
      <c r="AM55" s="62">
        <v>0</v>
      </c>
      <c r="AN55" s="1"/>
      <c r="AO55" s="53"/>
      <c r="AP55" s="62">
        <v>0</v>
      </c>
      <c r="AQ55" s="1"/>
      <c r="AR55" s="53"/>
      <c r="AS55" s="62">
        <v>0</v>
      </c>
      <c r="AT55" s="48"/>
      <c r="AU55" s="52"/>
      <c r="AV55" s="54">
        <f>SUM(AJ55:AS55)</f>
        <v>0</v>
      </c>
      <c r="AW55" s="48"/>
      <c r="AX55" s="9"/>
      <c r="AY55" s="52"/>
      <c r="AZ55" s="62">
        <v>0</v>
      </c>
      <c r="BA55" s="1"/>
      <c r="BB55" s="53"/>
      <c r="BC55" s="62">
        <v>0</v>
      </c>
      <c r="BD55" s="1"/>
      <c r="BE55" s="53"/>
      <c r="BF55" s="62">
        <v>0</v>
      </c>
      <c r="BG55" s="1"/>
      <c r="BH55" s="53"/>
      <c r="BI55" s="62">
        <v>0</v>
      </c>
      <c r="BJ55" s="48"/>
      <c r="BK55" s="52"/>
      <c r="BL55" s="54">
        <f>SUM(AZ55:BI55)</f>
        <v>0</v>
      </c>
      <c r="BM55" s="48"/>
      <c r="BN55" s="70"/>
      <c r="BO55" s="52"/>
      <c r="BP55" s="86">
        <f>+D55+T55+AJ55+AZ55</f>
        <v>0</v>
      </c>
      <c r="BQ55" s="1"/>
      <c r="BR55" s="53"/>
      <c r="BS55" s="86">
        <f>+G55+W55+AM55+BC55</f>
        <v>0</v>
      </c>
      <c r="BT55" s="1"/>
      <c r="BU55" s="53"/>
      <c r="BV55" s="86">
        <f>+J55+Z55+AP55+BF55</f>
        <v>0</v>
      </c>
      <c r="BW55" s="1"/>
      <c r="BX55" s="53"/>
      <c r="BY55" s="86">
        <f>+M55+AC55+AS55+BI55</f>
        <v>0</v>
      </c>
      <c r="BZ55" s="48"/>
      <c r="CA55" s="52"/>
      <c r="CB55" s="54">
        <f>SUM(BP55:BY55)</f>
        <v>0</v>
      </c>
      <c r="CC55" s="48"/>
      <c r="CD55" s="70"/>
    </row>
    <row r="56" spans="1:82" x14ac:dyDescent="0.15">
      <c r="A56" s="1"/>
      <c r="B56" s="9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58"/>
      <c r="Q56" s="48"/>
      <c r="R56" s="9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58"/>
      <c r="AG56" s="48"/>
      <c r="AH56" s="9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58"/>
      <c r="AW56" s="48"/>
      <c r="AX56" s="9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58"/>
      <c r="BM56" s="48"/>
      <c r="BN56" s="70"/>
      <c r="BO56" s="48"/>
      <c r="BP56" s="48"/>
      <c r="BQ56" s="48"/>
      <c r="BR56" s="48"/>
      <c r="BS56" s="48"/>
      <c r="BT56" s="48"/>
      <c r="BU56" s="48"/>
      <c r="BV56" s="48"/>
      <c r="BW56" s="48"/>
      <c r="BX56" s="48"/>
      <c r="BY56" s="48"/>
      <c r="BZ56" s="48"/>
      <c r="CA56" s="48"/>
      <c r="CB56" s="58"/>
      <c r="CC56" s="48"/>
      <c r="CD56" s="70"/>
    </row>
    <row r="57" spans="1:82" x14ac:dyDescent="0.15">
      <c r="A57" s="1"/>
      <c r="B57" s="9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9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9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9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70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  <c r="BZ57" s="48"/>
      <c r="CA57" s="48"/>
      <c r="CB57" s="48"/>
      <c r="CC57" s="48"/>
      <c r="CD57" s="70"/>
    </row>
    <row r="58" spans="1:82" ht="16" x14ac:dyDescent="0.2">
      <c r="A58" s="127" t="s">
        <v>76</v>
      </c>
      <c r="B58" s="9"/>
      <c r="C58" s="49"/>
      <c r="D58" s="63">
        <f>SUM(D60:D79)</f>
        <v>0</v>
      </c>
      <c r="E58" s="64"/>
      <c r="F58" s="65"/>
      <c r="G58" s="63">
        <f>SUM(G60:G79)</f>
        <v>0</v>
      </c>
      <c r="H58" s="64"/>
      <c r="I58" s="65"/>
      <c r="J58" s="63">
        <f>SUM(J60:J79)</f>
        <v>100000</v>
      </c>
      <c r="K58" s="64"/>
      <c r="L58" s="65"/>
      <c r="M58" s="63">
        <f>SUM(M60:M79)</f>
        <v>150000</v>
      </c>
      <c r="N58" s="48"/>
      <c r="O58" s="50"/>
      <c r="P58" s="67">
        <f>SUM(P60:P79)</f>
        <v>250000</v>
      </c>
      <c r="Q58" s="66"/>
      <c r="R58" s="9"/>
      <c r="S58" s="49"/>
      <c r="T58" s="63">
        <f>SUM(T60:T79)</f>
        <v>0</v>
      </c>
      <c r="U58" s="64"/>
      <c r="V58" s="65"/>
      <c r="W58" s="63">
        <f>SUM(W60:W79)</f>
        <v>0</v>
      </c>
      <c r="X58" s="64"/>
      <c r="Y58" s="65"/>
      <c r="Z58" s="63">
        <f>SUM(Z60:Z79)</f>
        <v>0</v>
      </c>
      <c r="AA58" s="64"/>
      <c r="AB58" s="65"/>
      <c r="AC58" s="63">
        <f>SUM(AC60:AC79)</f>
        <v>0</v>
      </c>
      <c r="AD58" s="48"/>
      <c r="AE58" s="50"/>
      <c r="AF58" s="67">
        <f>SUM(AF60:AF79)</f>
        <v>0</v>
      </c>
      <c r="AG58" s="66"/>
      <c r="AH58" s="9"/>
      <c r="AI58" s="49"/>
      <c r="AJ58" s="63">
        <f>SUM(AJ60:AJ79)</f>
        <v>0</v>
      </c>
      <c r="AK58" s="64"/>
      <c r="AL58" s="65"/>
      <c r="AM58" s="63">
        <f>SUM(AM60:AM79)</f>
        <v>0</v>
      </c>
      <c r="AN58" s="64"/>
      <c r="AO58" s="65"/>
      <c r="AP58" s="63">
        <f>SUM(AP60:AP79)</f>
        <v>0</v>
      </c>
      <c r="AQ58" s="64"/>
      <c r="AR58" s="65"/>
      <c r="AS58" s="63">
        <f>SUM(AS60:AS79)</f>
        <v>0</v>
      </c>
      <c r="AT58" s="48"/>
      <c r="AU58" s="50"/>
      <c r="AV58" s="67">
        <f>SUM(AV60:AV79)</f>
        <v>0</v>
      </c>
      <c r="AW58" s="66"/>
      <c r="AX58" s="9"/>
      <c r="AY58" s="49"/>
      <c r="AZ58" s="63">
        <f>SUM(AZ60:AZ79)</f>
        <v>0</v>
      </c>
      <c r="BA58" s="64"/>
      <c r="BB58" s="65"/>
      <c r="BC58" s="63">
        <f>SUM(BC60:BC79)</f>
        <v>0</v>
      </c>
      <c r="BD58" s="64"/>
      <c r="BE58" s="65"/>
      <c r="BF58" s="63">
        <f>SUM(BF60:BF79)</f>
        <v>0</v>
      </c>
      <c r="BG58" s="64"/>
      <c r="BH58" s="65"/>
      <c r="BI58" s="63">
        <f>SUM(BI60:BI79)</f>
        <v>0</v>
      </c>
      <c r="BJ58" s="48"/>
      <c r="BK58" s="50"/>
      <c r="BL58" s="67">
        <f>SUM(BL60:BL79)</f>
        <v>0</v>
      </c>
      <c r="BM58" s="66"/>
      <c r="BN58" s="70"/>
      <c r="BO58" s="49"/>
      <c r="BP58" s="63">
        <f>SUM(BP60:BP79)</f>
        <v>0</v>
      </c>
      <c r="BQ58" s="64"/>
      <c r="BR58" s="65"/>
      <c r="BS58" s="63">
        <f>SUM(BS60:BS79)</f>
        <v>0</v>
      </c>
      <c r="BT58" s="64"/>
      <c r="BU58" s="65"/>
      <c r="BV58" s="63">
        <f>SUM(BV60:BV79)</f>
        <v>100000</v>
      </c>
      <c r="BW58" s="64"/>
      <c r="BX58" s="65"/>
      <c r="BY58" s="63">
        <f>SUM(BY60:BY79)</f>
        <v>150000</v>
      </c>
      <c r="BZ58" s="48"/>
      <c r="CA58" s="50"/>
      <c r="CB58" s="67">
        <f>SUM(CB60:CB79)</f>
        <v>250000</v>
      </c>
      <c r="CC58" s="66"/>
      <c r="CD58" s="70"/>
    </row>
    <row r="59" spans="1:82" x14ac:dyDescent="0.15">
      <c r="A59" s="47"/>
      <c r="B59" s="9"/>
      <c r="C59" s="48"/>
      <c r="D59" s="51"/>
      <c r="E59" s="48"/>
      <c r="F59" s="48"/>
      <c r="G59" s="51"/>
      <c r="H59" s="48"/>
      <c r="I59" s="48"/>
      <c r="J59" s="51"/>
      <c r="K59" s="48"/>
      <c r="L59" s="48"/>
      <c r="M59" s="51"/>
      <c r="N59" s="48"/>
      <c r="O59" s="48"/>
      <c r="P59" s="51"/>
      <c r="Q59" s="48"/>
      <c r="R59" s="9"/>
      <c r="S59" s="48"/>
      <c r="T59" s="51"/>
      <c r="U59" s="48"/>
      <c r="V59" s="48"/>
      <c r="W59" s="51"/>
      <c r="X59" s="48"/>
      <c r="Y59" s="48"/>
      <c r="Z59" s="51"/>
      <c r="AA59" s="48"/>
      <c r="AB59" s="48"/>
      <c r="AC59" s="51"/>
      <c r="AD59" s="48"/>
      <c r="AE59" s="48"/>
      <c r="AF59" s="51"/>
      <c r="AG59" s="48"/>
      <c r="AH59" s="9"/>
      <c r="AI59" s="48"/>
      <c r="AJ59" s="51"/>
      <c r="AK59" s="48"/>
      <c r="AL59" s="48"/>
      <c r="AM59" s="51"/>
      <c r="AN59" s="48"/>
      <c r="AO59" s="48"/>
      <c r="AP59" s="51"/>
      <c r="AQ59" s="48"/>
      <c r="AR59" s="48"/>
      <c r="AS59" s="51"/>
      <c r="AT59" s="48"/>
      <c r="AU59" s="48"/>
      <c r="AV59" s="51"/>
      <c r="AW59" s="48"/>
      <c r="AX59" s="9"/>
      <c r="AY59" s="48"/>
      <c r="AZ59" s="51"/>
      <c r="BA59" s="48"/>
      <c r="BB59" s="48"/>
      <c r="BC59" s="51"/>
      <c r="BD59" s="48"/>
      <c r="BE59" s="48"/>
      <c r="BF59" s="51"/>
      <c r="BG59" s="48"/>
      <c r="BH59" s="48"/>
      <c r="BI59" s="51"/>
      <c r="BJ59" s="48"/>
      <c r="BK59" s="48"/>
      <c r="BL59" s="51"/>
      <c r="BM59" s="48"/>
      <c r="BN59" s="70"/>
      <c r="BO59" s="48"/>
      <c r="BP59" s="51"/>
      <c r="BQ59" s="48"/>
      <c r="BR59" s="48"/>
      <c r="BS59" s="51"/>
      <c r="BT59" s="48"/>
      <c r="BU59" s="48"/>
      <c r="BV59" s="51"/>
      <c r="BW59" s="48"/>
      <c r="BX59" s="48"/>
      <c r="BY59" s="51"/>
      <c r="BZ59" s="48"/>
      <c r="CA59" s="48"/>
      <c r="CB59" s="51"/>
      <c r="CC59" s="48"/>
      <c r="CD59" s="70"/>
    </row>
    <row r="60" spans="1:82" x14ac:dyDescent="0.15">
      <c r="A60" s="68" t="s">
        <v>93</v>
      </c>
      <c r="B60" s="9"/>
      <c r="C60" s="52"/>
      <c r="D60" s="62"/>
      <c r="E60" s="1"/>
      <c r="F60" s="53"/>
      <c r="G60" s="62"/>
      <c r="H60" s="1"/>
      <c r="I60" s="53"/>
      <c r="J60" s="62">
        <v>75000</v>
      </c>
      <c r="K60" s="1"/>
      <c r="L60" s="53"/>
      <c r="M60" s="62">
        <v>100000</v>
      </c>
      <c r="N60" s="48"/>
      <c r="O60" s="52"/>
      <c r="P60" s="54">
        <f>SUM(D60:M60)</f>
        <v>175000</v>
      </c>
      <c r="Q60" s="48"/>
      <c r="R60" s="9"/>
      <c r="S60" s="52"/>
      <c r="T60" s="62">
        <v>0</v>
      </c>
      <c r="U60" s="1"/>
      <c r="V60" s="53"/>
      <c r="W60" s="62">
        <v>0</v>
      </c>
      <c r="X60" s="1"/>
      <c r="Y60" s="53"/>
      <c r="Z60" s="62">
        <v>0</v>
      </c>
      <c r="AA60" s="1"/>
      <c r="AB60" s="53"/>
      <c r="AC60" s="62">
        <v>0</v>
      </c>
      <c r="AD60" s="48"/>
      <c r="AE60" s="52"/>
      <c r="AF60" s="54">
        <f>SUM(T60:AC60)</f>
        <v>0</v>
      </c>
      <c r="AG60" s="48"/>
      <c r="AH60" s="9"/>
      <c r="AI60" s="52"/>
      <c r="AJ60" s="62">
        <v>0</v>
      </c>
      <c r="AK60" s="1"/>
      <c r="AL60" s="53"/>
      <c r="AM60" s="62">
        <v>0</v>
      </c>
      <c r="AN60" s="1"/>
      <c r="AO60" s="53"/>
      <c r="AP60" s="62">
        <v>0</v>
      </c>
      <c r="AQ60" s="1"/>
      <c r="AR60" s="53"/>
      <c r="AS60" s="62">
        <v>0</v>
      </c>
      <c r="AT60" s="48"/>
      <c r="AU60" s="52"/>
      <c r="AV60" s="54">
        <f>SUM(AJ60:AS60)</f>
        <v>0</v>
      </c>
      <c r="AW60" s="48"/>
      <c r="AX60" s="9"/>
      <c r="AY60" s="52"/>
      <c r="AZ60" s="62">
        <v>0</v>
      </c>
      <c r="BA60" s="1"/>
      <c r="BB60" s="53"/>
      <c r="BC60" s="62">
        <v>0</v>
      </c>
      <c r="BD60" s="1"/>
      <c r="BE60" s="53"/>
      <c r="BF60" s="62">
        <v>0</v>
      </c>
      <c r="BG60" s="1"/>
      <c r="BH60" s="53"/>
      <c r="BI60" s="62">
        <v>0</v>
      </c>
      <c r="BJ60" s="48"/>
      <c r="BK60" s="52"/>
      <c r="BL60" s="54">
        <f>SUM(AZ60:BI60)</f>
        <v>0</v>
      </c>
      <c r="BM60" s="48"/>
      <c r="BN60" s="70"/>
      <c r="BO60" s="52"/>
      <c r="BP60" s="86">
        <f>+D60+T60+AJ60+AZ60</f>
        <v>0</v>
      </c>
      <c r="BQ60" s="1"/>
      <c r="BR60" s="53"/>
      <c r="BS60" s="86">
        <f>+G60+W60+AM60+BC60</f>
        <v>0</v>
      </c>
      <c r="BT60" s="1"/>
      <c r="BU60" s="53"/>
      <c r="BV60" s="86">
        <f>+J60+Z60+AP60+BF60</f>
        <v>75000</v>
      </c>
      <c r="BW60" s="1"/>
      <c r="BX60" s="53"/>
      <c r="BY60" s="86">
        <f>+M60+AC60+AS60+BI60</f>
        <v>100000</v>
      </c>
      <c r="BZ60" s="48"/>
      <c r="CA60" s="52"/>
      <c r="CB60" s="54">
        <f>SUM(BP60:BY60)</f>
        <v>175000</v>
      </c>
      <c r="CC60" s="48"/>
      <c r="CD60" s="70"/>
    </row>
    <row r="61" spans="1:82" x14ac:dyDescent="0.15">
      <c r="A61" s="59"/>
      <c r="B61" s="9"/>
      <c r="C61" s="48"/>
      <c r="D61" s="55"/>
      <c r="E61" s="1"/>
      <c r="F61" s="1"/>
      <c r="G61" s="55"/>
      <c r="H61" s="1"/>
      <c r="I61" s="1"/>
      <c r="J61" s="55"/>
      <c r="K61" s="1"/>
      <c r="L61" s="1"/>
      <c r="M61" s="55"/>
      <c r="N61" s="48"/>
      <c r="O61" s="48"/>
      <c r="P61" s="56"/>
      <c r="Q61" s="48"/>
      <c r="R61" s="9"/>
      <c r="S61" s="48"/>
      <c r="T61" s="55"/>
      <c r="U61" s="1"/>
      <c r="V61" s="1"/>
      <c r="W61" s="55"/>
      <c r="X61" s="1"/>
      <c r="Y61" s="1"/>
      <c r="Z61" s="55"/>
      <c r="AA61" s="1"/>
      <c r="AB61" s="1"/>
      <c r="AC61" s="55"/>
      <c r="AD61" s="48"/>
      <c r="AE61" s="48"/>
      <c r="AF61" s="56"/>
      <c r="AG61" s="48"/>
      <c r="AH61" s="9"/>
      <c r="AI61" s="48"/>
      <c r="AJ61" s="55"/>
      <c r="AK61" s="1"/>
      <c r="AL61" s="1"/>
      <c r="AM61" s="55"/>
      <c r="AN61" s="1"/>
      <c r="AO61" s="1"/>
      <c r="AP61" s="55"/>
      <c r="AQ61" s="1"/>
      <c r="AR61" s="1"/>
      <c r="AS61" s="55"/>
      <c r="AT61" s="48"/>
      <c r="AU61" s="48"/>
      <c r="AV61" s="56"/>
      <c r="AW61" s="48"/>
      <c r="AX61" s="9"/>
      <c r="AY61" s="48"/>
      <c r="AZ61" s="55"/>
      <c r="BA61" s="1"/>
      <c r="BB61" s="1"/>
      <c r="BC61" s="55"/>
      <c r="BD61" s="1"/>
      <c r="BE61" s="1"/>
      <c r="BF61" s="55"/>
      <c r="BG61" s="1"/>
      <c r="BH61" s="1"/>
      <c r="BI61" s="55"/>
      <c r="BJ61" s="48"/>
      <c r="BK61" s="48"/>
      <c r="BL61" s="56"/>
      <c r="BM61" s="48"/>
      <c r="BN61" s="70"/>
      <c r="BO61" s="48"/>
      <c r="BP61" s="55"/>
      <c r="BQ61" s="1"/>
      <c r="BR61" s="1"/>
      <c r="BS61" s="55"/>
      <c r="BT61" s="1"/>
      <c r="BU61" s="1"/>
      <c r="BV61" s="55"/>
      <c r="BW61" s="1"/>
      <c r="BX61" s="1"/>
      <c r="BY61" s="55"/>
      <c r="BZ61" s="48"/>
      <c r="CA61" s="48"/>
      <c r="CB61" s="56"/>
      <c r="CC61" s="48"/>
      <c r="CD61" s="70"/>
    </row>
    <row r="62" spans="1:82" x14ac:dyDescent="0.15">
      <c r="A62" s="68" t="s">
        <v>99</v>
      </c>
      <c r="B62" s="9"/>
      <c r="C62" s="52"/>
      <c r="D62" s="62">
        <v>0</v>
      </c>
      <c r="E62" s="1"/>
      <c r="F62" s="53"/>
      <c r="G62" s="62">
        <v>0</v>
      </c>
      <c r="H62" s="1"/>
      <c r="I62" s="53"/>
      <c r="J62" s="62">
        <v>25000</v>
      </c>
      <c r="K62" s="1"/>
      <c r="L62" s="53"/>
      <c r="M62" s="62">
        <v>50000</v>
      </c>
      <c r="N62" s="48"/>
      <c r="O62" s="52"/>
      <c r="P62" s="54">
        <f>SUM(D62:M62)</f>
        <v>75000</v>
      </c>
      <c r="Q62" s="48"/>
      <c r="R62" s="9"/>
      <c r="S62" s="52"/>
      <c r="T62" s="62">
        <v>0</v>
      </c>
      <c r="U62" s="1"/>
      <c r="V62" s="53"/>
      <c r="W62" s="62">
        <v>0</v>
      </c>
      <c r="X62" s="1"/>
      <c r="Y62" s="53"/>
      <c r="Z62" s="62">
        <v>0</v>
      </c>
      <c r="AA62" s="1"/>
      <c r="AB62" s="53"/>
      <c r="AC62" s="62">
        <v>0</v>
      </c>
      <c r="AD62" s="48"/>
      <c r="AE62" s="52"/>
      <c r="AF62" s="54">
        <f>SUM(T62:AC62)</f>
        <v>0</v>
      </c>
      <c r="AG62" s="48"/>
      <c r="AH62" s="9"/>
      <c r="AI62" s="52"/>
      <c r="AJ62" s="62">
        <v>0</v>
      </c>
      <c r="AK62" s="1"/>
      <c r="AL62" s="53"/>
      <c r="AM62" s="62">
        <v>0</v>
      </c>
      <c r="AN62" s="1"/>
      <c r="AO62" s="53"/>
      <c r="AP62" s="62">
        <v>0</v>
      </c>
      <c r="AQ62" s="1"/>
      <c r="AR62" s="53"/>
      <c r="AS62" s="62">
        <v>0</v>
      </c>
      <c r="AT62" s="48"/>
      <c r="AU62" s="52"/>
      <c r="AV62" s="54">
        <f>SUM(AJ62:AS62)</f>
        <v>0</v>
      </c>
      <c r="AW62" s="48"/>
      <c r="AX62" s="9"/>
      <c r="AY62" s="52"/>
      <c r="AZ62" s="62">
        <v>0</v>
      </c>
      <c r="BA62" s="1"/>
      <c r="BB62" s="53"/>
      <c r="BC62" s="62">
        <v>0</v>
      </c>
      <c r="BD62" s="1"/>
      <c r="BE62" s="53"/>
      <c r="BF62" s="62">
        <v>0</v>
      </c>
      <c r="BG62" s="1"/>
      <c r="BH62" s="53"/>
      <c r="BI62" s="62">
        <v>0</v>
      </c>
      <c r="BJ62" s="48"/>
      <c r="BK62" s="52"/>
      <c r="BL62" s="54">
        <f>SUM(AZ62:BI62)</f>
        <v>0</v>
      </c>
      <c r="BM62" s="48"/>
      <c r="BN62" s="70"/>
      <c r="BO62" s="52"/>
      <c r="BP62" s="86">
        <f>+D62+T62+AJ62+AZ62</f>
        <v>0</v>
      </c>
      <c r="BQ62" s="1"/>
      <c r="BR62" s="53"/>
      <c r="BS62" s="86">
        <f>+G62+W62+AM62+BC62</f>
        <v>0</v>
      </c>
      <c r="BT62" s="1"/>
      <c r="BU62" s="53"/>
      <c r="BV62" s="86">
        <f>+J62+Z62+AP62+BF62</f>
        <v>25000</v>
      </c>
      <c r="BW62" s="1"/>
      <c r="BX62" s="53"/>
      <c r="BY62" s="86">
        <f>+M62+AC62+AS62+BI62</f>
        <v>50000</v>
      </c>
      <c r="BZ62" s="48"/>
      <c r="CA62" s="52"/>
      <c r="CB62" s="54">
        <f>SUM(BP62:BY62)</f>
        <v>75000</v>
      </c>
      <c r="CC62" s="48"/>
      <c r="CD62" s="70"/>
    </row>
    <row r="63" spans="1:82" x14ac:dyDescent="0.15">
      <c r="A63" s="60"/>
      <c r="B63" s="9"/>
      <c r="C63" s="48"/>
      <c r="D63" s="57"/>
      <c r="E63" s="1"/>
      <c r="F63" s="1"/>
      <c r="G63" s="57"/>
      <c r="H63" s="1"/>
      <c r="I63" s="1"/>
      <c r="J63" s="57"/>
      <c r="K63" s="1"/>
      <c r="L63" s="1"/>
      <c r="M63" s="57"/>
      <c r="N63" s="48"/>
      <c r="O63" s="48"/>
      <c r="P63" s="51"/>
      <c r="Q63" s="48"/>
      <c r="R63" s="9"/>
      <c r="S63" s="48"/>
      <c r="T63" s="57"/>
      <c r="U63" s="1"/>
      <c r="V63" s="1"/>
      <c r="W63" s="57"/>
      <c r="X63" s="1"/>
      <c r="Y63" s="1"/>
      <c r="Z63" s="57"/>
      <c r="AA63" s="1"/>
      <c r="AB63" s="1"/>
      <c r="AC63" s="57"/>
      <c r="AD63" s="48"/>
      <c r="AE63" s="48"/>
      <c r="AF63" s="51"/>
      <c r="AG63" s="48"/>
      <c r="AH63" s="9"/>
      <c r="AI63" s="48"/>
      <c r="AJ63" s="57"/>
      <c r="AK63" s="1"/>
      <c r="AL63" s="1"/>
      <c r="AM63" s="57"/>
      <c r="AN63" s="1"/>
      <c r="AO63" s="1"/>
      <c r="AP63" s="57"/>
      <c r="AQ63" s="1"/>
      <c r="AR63" s="1"/>
      <c r="AS63" s="57"/>
      <c r="AT63" s="48"/>
      <c r="AU63" s="48"/>
      <c r="AV63" s="51"/>
      <c r="AW63" s="48"/>
      <c r="AX63" s="9"/>
      <c r="AY63" s="48"/>
      <c r="AZ63" s="57"/>
      <c r="BA63" s="1"/>
      <c r="BB63" s="1"/>
      <c r="BC63" s="57"/>
      <c r="BD63" s="1"/>
      <c r="BE63" s="1"/>
      <c r="BF63" s="57"/>
      <c r="BG63" s="1"/>
      <c r="BH63" s="1"/>
      <c r="BI63" s="57"/>
      <c r="BJ63" s="48"/>
      <c r="BK63" s="48"/>
      <c r="BL63" s="51"/>
      <c r="BM63" s="48"/>
      <c r="BN63" s="70"/>
      <c r="BO63" s="48"/>
      <c r="BP63" s="57"/>
      <c r="BQ63" s="1"/>
      <c r="BR63" s="1"/>
      <c r="BS63" s="57"/>
      <c r="BT63" s="1"/>
      <c r="BU63" s="1"/>
      <c r="BV63" s="57"/>
      <c r="BW63" s="1"/>
      <c r="BX63" s="1"/>
      <c r="BY63" s="57"/>
      <c r="BZ63" s="48"/>
      <c r="CA63" s="48"/>
      <c r="CB63" s="51"/>
      <c r="CC63" s="48"/>
      <c r="CD63" s="70"/>
    </row>
    <row r="64" spans="1:82" x14ac:dyDescent="0.15">
      <c r="A64" s="68"/>
      <c r="B64" s="9"/>
      <c r="C64" s="52"/>
      <c r="D64" s="62">
        <v>0</v>
      </c>
      <c r="E64" s="1"/>
      <c r="F64" s="53"/>
      <c r="G64" s="62">
        <v>0</v>
      </c>
      <c r="H64" s="1"/>
      <c r="I64" s="53"/>
      <c r="J64" s="62">
        <v>0</v>
      </c>
      <c r="K64" s="1"/>
      <c r="L64" s="53"/>
      <c r="M64" s="62">
        <v>0</v>
      </c>
      <c r="N64" s="48"/>
      <c r="O64" s="52"/>
      <c r="P64" s="54">
        <f>SUM(D64:M64)</f>
        <v>0</v>
      </c>
      <c r="Q64" s="48"/>
      <c r="R64" s="9"/>
      <c r="S64" s="52"/>
      <c r="T64" s="62">
        <v>0</v>
      </c>
      <c r="U64" s="1"/>
      <c r="V64" s="53"/>
      <c r="W64" s="62">
        <v>0</v>
      </c>
      <c r="X64" s="1"/>
      <c r="Y64" s="53"/>
      <c r="Z64" s="62">
        <v>0</v>
      </c>
      <c r="AA64" s="1"/>
      <c r="AB64" s="53"/>
      <c r="AC64" s="62">
        <v>0</v>
      </c>
      <c r="AD64" s="48"/>
      <c r="AE64" s="52"/>
      <c r="AF64" s="54">
        <f>SUM(T64:AC64)</f>
        <v>0</v>
      </c>
      <c r="AG64" s="48"/>
      <c r="AH64" s="9"/>
      <c r="AI64" s="52"/>
      <c r="AJ64" s="62">
        <v>0</v>
      </c>
      <c r="AK64" s="1"/>
      <c r="AL64" s="53"/>
      <c r="AM64" s="62">
        <v>0</v>
      </c>
      <c r="AN64" s="1"/>
      <c r="AO64" s="53"/>
      <c r="AP64" s="62">
        <v>0</v>
      </c>
      <c r="AQ64" s="1"/>
      <c r="AR64" s="53"/>
      <c r="AS64" s="62">
        <v>0</v>
      </c>
      <c r="AT64" s="48"/>
      <c r="AU64" s="52"/>
      <c r="AV64" s="54">
        <f>SUM(AJ64:AS64)</f>
        <v>0</v>
      </c>
      <c r="AW64" s="48"/>
      <c r="AX64" s="9"/>
      <c r="AY64" s="52"/>
      <c r="AZ64" s="62">
        <v>0</v>
      </c>
      <c r="BA64" s="1"/>
      <c r="BB64" s="53"/>
      <c r="BC64" s="62">
        <v>0</v>
      </c>
      <c r="BD64" s="1"/>
      <c r="BE64" s="53"/>
      <c r="BF64" s="62">
        <v>0</v>
      </c>
      <c r="BG64" s="1"/>
      <c r="BH64" s="53"/>
      <c r="BI64" s="62">
        <v>0</v>
      </c>
      <c r="BJ64" s="48"/>
      <c r="BK64" s="52"/>
      <c r="BL64" s="54">
        <f>SUM(AZ64:BI64)</f>
        <v>0</v>
      </c>
      <c r="BM64" s="48"/>
      <c r="BN64" s="70"/>
      <c r="BO64" s="52"/>
      <c r="BP64" s="86">
        <f>+D64+T64+AJ64+AZ64</f>
        <v>0</v>
      </c>
      <c r="BQ64" s="1"/>
      <c r="BR64" s="53"/>
      <c r="BS64" s="86">
        <f>+G64+W64+AM64+BC64</f>
        <v>0</v>
      </c>
      <c r="BT64" s="1"/>
      <c r="BU64" s="53"/>
      <c r="BV64" s="86">
        <f>+J64+Z64+AP64+BF64</f>
        <v>0</v>
      </c>
      <c r="BW64" s="1"/>
      <c r="BX64" s="53"/>
      <c r="BY64" s="86">
        <f>+M64+AC64+AS64+BI64</f>
        <v>0</v>
      </c>
      <c r="BZ64" s="48"/>
      <c r="CA64" s="52"/>
      <c r="CB64" s="54">
        <f>SUM(BP64:BY64)</f>
        <v>0</v>
      </c>
      <c r="CC64" s="48"/>
      <c r="CD64" s="70"/>
    </row>
    <row r="65" spans="1:82" x14ac:dyDescent="0.15">
      <c r="A65" s="60"/>
      <c r="B65" s="9"/>
      <c r="C65" s="48"/>
      <c r="D65" s="55"/>
      <c r="E65" s="1"/>
      <c r="F65" s="1"/>
      <c r="G65" s="55"/>
      <c r="H65" s="1"/>
      <c r="I65" s="1"/>
      <c r="J65" s="55"/>
      <c r="K65" s="1"/>
      <c r="L65" s="1"/>
      <c r="M65" s="55"/>
      <c r="N65" s="48"/>
      <c r="O65" s="48"/>
      <c r="P65" s="51"/>
      <c r="Q65" s="48"/>
      <c r="R65" s="9"/>
      <c r="S65" s="48"/>
      <c r="T65" s="55"/>
      <c r="U65" s="1"/>
      <c r="V65" s="1"/>
      <c r="W65" s="55"/>
      <c r="X65" s="1"/>
      <c r="Y65" s="1"/>
      <c r="Z65" s="55"/>
      <c r="AA65" s="1"/>
      <c r="AB65" s="1"/>
      <c r="AC65" s="55"/>
      <c r="AD65" s="48"/>
      <c r="AE65" s="48"/>
      <c r="AF65" s="51"/>
      <c r="AG65" s="48"/>
      <c r="AH65" s="9"/>
      <c r="AI65" s="48"/>
      <c r="AJ65" s="55"/>
      <c r="AK65" s="1"/>
      <c r="AL65" s="1"/>
      <c r="AM65" s="55"/>
      <c r="AN65" s="1"/>
      <c r="AO65" s="1"/>
      <c r="AP65" s="55"/>
      <c r="AQ65" s="1"/>
      <c r="AR65" s="1"/>
      <c r="AS65" s="55"/>
      <c r="AT65" s="48"/>
      <c r="AU65" s="48"/>
      <c r="AV65" s="51"/>
      <c r="AW65" s="48"/>
      <c r="AX65" s="9"/>
      <c r="AY65" s="48"/>
      <c r="AZ65" s="55"/>
      <c r="BA65" s="1"/>
      <c r="BB65" s="1"/>
      <c r="BC65" s="55"/>
      <c r="BD65" s="1"/>
      <c r="BE65" s="1"/>
      <c r="BF65" s="55"/>
      <c r="BG65" s="1"/>
      <c r="BH65" s="1"/>
      <c r="BI65" s="55"/>
      <c r="BJ65" s="48"/>
      <c r="BK65" s="48"/>
      <c r="BL65" s="51"/>
      <c r="BM65" s="48"/>
      <c r="BN65" s="70"/>
      <c r="BO65" s="48"/>
      <c r="BP65" s="55"/>
      <c r="BQ65" s="1"/>
      <c r="BR65" s="1"/>
      <c r="BS65" s="55"/>
      <c r="BT65" s="1"/>
      <c r="BU65" s="1"/>
      <c r="BV65" s="55"/>
      <c r="BW65" s="1"/>
      <c r="BX65" s="1"/>
      <c r="BY65" s="55"/>
      <c r="BZ65" s="48"/>
      <c r="CA65" s="48"/>
      <c r="CB65" s="51"/>
      <c r="CC65" s="48"/>
      <c r="CD65" s="70"/>
    </row>
    <row r="66" spans="1:82" x14ac:dyDescent="0.15">
      <c r="A66" s="68"/>
      <c r="B66" s="9"/>
      <c r="C66" s="52"/>
      <c r="D66" s="62">
        <v>0</v>
      </c>
      <c r="E66" s="1"/>
      <c r="F66" s="53"/>
      <c r="G66" s="62">
        <v>0</v>
      </c>
      <c r="H66" s="1"/>
      <c r="I66" s="53"/>
      <c r="J66" s="62">
        <v>0</v>
      </c>
      <c r="K66" s="1"/>
      <c r="L66" s="53"/>
      <c r="M66" s="62">
        <v>0</v>
      </c>
      <c r="N66" s="48"/>
      <c r="O66" s="52"/>
      <c r="P66" s="54">
        <f>SUM(D66:M66)</f>
        <v>0</v>
      </c>
      <c r="Q66" s="48"/>
      <c r="R66" s="9"/>
      <c r="S66" s="52"/>
      <c r="T66" s="62">
        <v>0</v>
      </c>
      <c r="U66" s="1"/>
      <c r="V66" s="53"/>
      <c r="W66" s="62">
        <v>0</v>
      </c>
      <c r="X66" s="1"/>
      <c r="Y66" s="53"/>
      <c r="Z66" s="62">
        <v>0</v>
      </c>
      <c r="AA66" s="1"/>
      <c r="AB66" s="53"/>
      <c r="AC66" s="62">
        <v>0</v>
      </c>
      <c r="AD66" s="48"/>
      <c r="AE66" s="52"/>
      <c r="AF66" s="54">
        <f>SUM(T66:AC66)</f>
        <v>0</v>
      </c>
      <c r="AG66" s="48"/>
      <c r="AH66" s="9"/>
      <c r="AI66" s="52"/>
      <c r="AJ66" s="62">
        <v>0</v>
      </c>
      <c r="AK66" s="1"/>
      <c r="AL66" s="53"/>
      <c r="AM66" s="62">
        <v>0</v>
      </c>
      <c r="AN66" s="1"/>
      <c r="AO66" s="53"/>
      <c r="AP66" s="62">
        <v>0</v>
      </c>
      <c r="AQ66" s="1"/>
      <c r="AR66" s="53"/>
      <c r="AS66" s="62">
        <v>0</v>
      </c>
      <c r="AT66" s="48"/>
      <c r="AU66" s="52"/>
      <c r="AV66" s="54">
        <f>SUM(AJ66:AS66)</f>
        <v>0</v>
      </c>
      <c r="AW66" s="48"/>
      <c r="AX66" s="9"/>
      <c r="AY66" s="52"/>
      <c r="AZ66" s="62">
        <v>0</v>
      </c>
      <c r="BA66" s="1"/>
      <c r="BB66" s="53"/>
      <c r="BC66" s="62">
        <v>0</v>
      </c>
      <c r="BD66" s="1"/>
      <c r="BE66" s="53"/>
      <c r="BF66" s="62">
        <v>0</v>
      </c>
      <c r="BG66" s="1"/>
      <c r="BH66" s="53"/>
      <c r="BI66" s="62">
        <v>0</v>
      </c>
      <c r="BJ66" s="48"/>
      <c r="BK66" s="52"/>
      <c r="BL66" s="54">
        <f>SUM(AZ66:BI66)</f>
        <v>0</v>
      </c>
      <c r="BM66" s="48"/>
      <c r="BN66" s="70"/>
      <c r="BO66" s="52"/>
      <c r="BP66" s="86">
        <f>+D66+T66+AJ66+AZ66</f>
        <v>0</v>
      </c>
      <c r="BQ66" s="1"/>
      <c r="BR66" s="53"/>
      <c r="BS66" s="86">
        <f>+G66+W66+AM66+BC66</f>
        <v>0</v>
      </c>
      <c r="BT66" s="1"/>
      <c r="BU66" s="53"/>
      <c r="BV66" s="86">
        <f>+J66+Z66+AP66+BF66</f>
        <v>0</v>
      </c>
      <c r="BW66" s="1"/>
      <c r="BX66" s="53"/>
      <c r="BY66" s="86">
        <f>+M66+AC66+AS66+BI66</f>
        <v>0</v>
      </c>
      <c r="BZ66" s="48"/>
      <c r="CA66" s="52"/>
      <c r="CB66" s="54">
        <f>SUM(BP66:BY66)</f>
        <v>0</v>
      </c>
      <c r="CC66" s="48"/>
      <c r="CD66" s="70"/>
    </row>
    <row r="67" spans="1:82" x14ac:dyDescent="0.15">
      <c r="A67" s="60"/>
      <c r="B67" s="9"/>
      <c r="C67" s="48"/>
      <c r="D67" s="57"/>
      <c r="E67" s="1"/>
      <c r="F67" s="1"/>
      <c r="G67" s="57"/>
      <c r="H67" s="1"/>
      <c r="I67" s="1"/>
      <c r="J67" s="57"/>
      <c r="K67" s="1"/>
      <c r="L67" s="1"/>
      <c r="M67" s="57"/>
      <c r="N67" s="48"/>
      <c r="O67" s="48"/>
      <c r="P67" s="51"/>
      <c r="Q67" s="48"/>
      <c r="R67" s="9"/>
      <c r="S67" s="48"/>
      <c r="T67" s="57"/>
      <c r="U67" s="1"/>
      <c r="V67" s="1"/>
      <c r="W67" s="57"/>
      <c r="X67" s="1"/>
      <c r="Y67" s="1"/>
      <c r="Z67" s="57"/>
      <c r="AA67" s="1"/>
      <c r="AB67" s="1"/>
      <c r="AC67" s="57"/>
      <c r="AD67" s="48"/>
      <c r="AE67" s="48"/>
      <c r="AF67" s="51"/>
      <c r="AG67" s="48"/>
      <c r="AH67" s="9"/>
      <c r="AI67" s="48"/>
      <c r="AJ67" s="57"/>
      <c r="AK67" s="1"/>
      <c r="AL67" s="1"/>
      <c r="AM67" s="57"/>
      <c r="AN67" s="1"/>
      <c r="AO67" s="1"/>
      <c r="AP67" s="57"/>
      <c r="AQ67" s="1"/>
      <c r="AR67" s="1"/>
      <c r="AS67" s="57"/>
      <c r="AT67" s="48"/>
      <c r="AU67" s="48"/>
      <c r="AV67" s="51"/>
      <c r="AW67" s="48"/>
      <c r="AX67" s="9"/>
      <c r="AY67" s="48"/>
      <c r="AZ67" s="57"/>
      <c r="BA67" s="1"/>
      <c r="BB67" s="1"/>
      <c r="BC67" s="57"/>
      <c r="BD67" s="1"/>
      <c r="BE67" s="1"/>
      <c r="BF67" s="57"/>
      <c r="BG67" s="1"/>
      <c r="BH67" s="1"/>
      <c r="BI67" s="57"/>
      <c r="BJ67" s="48"/>
      <c r="BK67" s="48"/>
      <c r="BL67" s="51"/>
      <c r="BM67" s="48"/>
      <c r="BN67" s="70"/>
      <c r="BO67" s="48"/>
      <c r="BP67" s="57"/>
      <c r="BQ67" s="1"/>
      <c r="BR67" s="1"/>
      <c r="BS67" s="57"/>
      <c r="BT67" s="1"/>
      <c r="BU67" s="1"/>
      <c r="BV67" s="57"/>
      <c r="BW67" s="1"/>
      <c r="BX67" s="1"/>
      <c r="BY67" s="57"/>
      <c r="BZ67" s="48"/>
      <c r="CA67" s="48"/>
      <c r="CB67" s="51"/>
      <c r="CC67" s="48"/>
      <c r="CD67" s="70"/>
    </row>
    <row r="68" spans="1:82" x14ac:dyDescent="0.15">
      <c r="A68" s="68"/>
      <c r="B68" s="9"/>
      <c r="C68" s="52"/>
      <c r="D68" s="62">
        <v>0</v>
      </c>
      <c r="E68" s="1"/>
      <c r="F68" s="53"/>
      <c r="G68" s="62">
        <v>0</v>
      </c>
      <c r="H68" s="1"/>
      <c r="I68" s="53"/>
      <c r="J68" s="62">
        <v>0</v>
      </c>
      <c r="K68" s="1"/>
      <c r="L68" s="53"/>
      <c r="M68" s="62">
        <v>0</v>
      </c>
      <c r="N68" s="48"/>
      <c r="O68" s="52"/>
      <c r="P68" s="54">
        <f>SUM(D68:M68)</f>
        <v>0</v>
      </c>
      <c r="Q68" s="48"/>
      <c r="R68" s="9"/>
      <c r="S68" s="52"/>
      <c r="T68" s="62">
        <v>0</v>
      </c>
      <c r="U68" s="1"/>
      <c r="V68" s="53"/>
      <c r="W68" s="62">
        <v>0</v>
      </c>
      <c r="X68" s="1"/>
      <c r="Y68" s="53"/>
      <c r="Z68" s="62">
        <v>0</v>
      </c>
      <c r="AA68" s="1"/>
      <c r="AB68" s="53"/>
      <c r="AC68" s="62">
        <v>0</v>
      </c>
      <c r="AD68" s="48"/>
      <c r="AE68" s="52"/>
      <c r="AF68" s="54">
        <f>SUM(T68:AC68)</f>
        <v>0</v>
      </c>
      <c r="AG68" s="48"/>
      <c r="AH68" s="9"/>
      <c r="AI68" s="52"/>
      <c r="AJ68" s="62">
        <v>0</v>
      </c>
      <c r="AK68" s="1"/>
      <c r="AL68" s="53"/>
      <c r="AM68" s="62">
        <v>0</v>
      </c>
      <c r="AN68" s="1"/>
      <c r="AO68" s="53"/>
      <c r="AP68" s="62">
        <v>0</v>
      </c>
      <c r="AQ68" s="1"/>
      <c r="AR68" s="53"/>
      <c r="AS68" s="62">
        <v>0</v>
      </c>
      <c r="AT68" s="48"/>
      <c r="AU68" s="52"/>
      <c r="AV68" s="54">
        <f>SUM(AJ68:AS68)</f>
        <v>0</v>
      </c>
      <c r="AW68" s="48"/>
      <c r="AX68" s="9"/>
      <c r="AY68" s="52"/>
      <c r="AZ68" s="62">
        <v>0</v>
      </c>
      <c r="BA68" s="1"/>
      <c r="BB68" s="53"/>
      <c r="BC68" s="62">
        <v>0</v>
      </c>
      <c r="BD68" s="1"/>
      <c r="BE68" s="53"/>
      <c r="BF68" s="62">
        <v>0</v>
      </c>
      <c r="BG68" s="1"/>
      <c r="BH68" s="53"/>
      <c r="BI68" s="62">
        <v>0</v>
      </c>
      <c r="BJ68" s="48"/>
      <c r="BK68" s="52"/>
      <c r="BL68" s="54">
        <f>SUM(AZ68:BI68)</f>
        <v>0</v>
      </c>
      <c r="BM68" s="48"/>
      <c r="BN68" s="70"/>
      <c r="BO68" s="52"/>
      <c r="BP68" s="86">
        <f>+D68+T68+AJ68+AZ68</f>
        <v>0</v>
      </c>
      <c r="BQ68" s="1"/>
      <c r="BR68" s="53"/>
      <c r="BS68" s="86">
        <f>+G68+W68+AM68+BC68</f>
        <v>0</v>
      </c>
      <c r="BT68" s="1"/>
      <c r="BU68" s="53"/>
      <c r="BV68" s="86">
        <f>+J68+Z68+AP68+BF68</f>
        <v>0</v>
      </c>
      <c r="BW68" s="1"/>
      <c r="BX68" s="53"/>
      <c r="BY68" s="86">
        <f>+M68+AC68+AS68+BI68</f>
        <v>0</v>
      </c>
      <c r="BZ68" s="48"/>
      <c r="CA68" s="52"/>
      <c r="CB68" s="54">
        <f>SUM(BP68:BY68)</f>
        <v>0</v>
      </c>
      <c r="CC68" s="48"/>
      <c r="CD68" s="70"/>
    </row>
    <row r="69" spans="1:82" x14ac:dyDescent="0.15">
      <c r="A69" s="61"/>
      <c r="B69" s="9"/>
      <c r="C69" s="48"/>
      <c r="D69" s="55"/>
      <c r="E69" s="1"/>
      <c r="F69" s="1"/>
      <c r="G69" s="55"/>
      <c r="H69" s="1"/>
      <c r="I69" s="1"/>
      <c r="J69" s="55"/>
      <c r="K69" s="1"/>
      <c r="L69" s="1"/>
      <c r="M69" s="55"/>
      <c r="N69" s="48"/>
      <c r="O69" s="48"/>
      <c r="P69" s="56"/>
      <c r="Q69" s="48"/>
      <c r="R69" s="9"/>
      <c r="S69" s="48"/>
      <c r="T69" s="55"/>
      <c r="U69" s="1"/>
      <c r="V69" s="1"/>
      <c r="W69" s="55"/>
      <c r="X69" s="1"/>
      <c r="Y69" s="1"/>
      <c r="Z69" s="55"/>
      <c r="AA69" s="1"/>
      <c r="AB69" s="1"/>
      <c r="AC69" s="55"/>
      <c r="AD69" s="48"/>
      <c r="AE69" s="48"/>
      <c r="AF69" s="56"/>
      <c r="AG69" s="48"/>
      <c r="AH69" s="9"/>
      <c r="AI69" s="48"/>
      <c r="AJ69" s="55"/>
      <c r="AK69" s="1"/>
      <c r="AL69" s="1"/>
      <c r="AM69" s="55"/>
      <c r="AN69" s="1"/>
      <c r="AO69" s="1"/>
      <c r="AP69" s="55"/>
      <c r="AQ69" s="1"/>
      <c r="AR69" s="1"/>
      <c r="AS69" s="55"/>
      <c r="AT69" s="48"/>
      <c r="AU69" s="48"/>
      <c r="AV69" s="56"/>
      <c r="AW69" s="48"/>
      <c r="AX69" s="9"/>
      <c r="AY69" s="48"/>
      <c r="AZ69" s="55"/>
      <c r="BA69" s="1"/>
      <c r="BB69" s="1"/>
      <c r="BC69" s="55"/>
      <c r="BD69" s="1"/>
      <c r="BE69" s="1"/>
      <c r="BF69" s="55"/>
      <c r="BG69" s="1"/>
      <c r="BH69" s="1"/>
      <c r="BI69" s="55"/>
      <c r="BJ69" s="48"/>
      <c r="BK69" s="48"/>
      <c r="BL69" s="56"/>
      <c r="BM69" s="48"/>
      <c r="BN69" s="70"/>
      <c r="BO69" s="48"/>
      <c r="BP69" s="55"/>
      <c r="BQ69" s="1"/>
      <c r="BR69" s="1"/>
      <c r="BS69" s="55"/>
      <c r="BT69" s="1"/>
      <c r="BU69" s="1"/>
      <c r="BV69" s="55"/>
      <c r="BW69" s="1"/>
      <c r="BX69" s="1"/>
      <c r="BY69" s="55"/>
      <c r="BZ69" s="48"/>
      <c r="CA69" s="48"/>
      <c r="CB69" s="56"/>
      <c r="CC69" s="48"/>
      <c r="CD69" s="70"/>
    </row>
    <row r="70" spans="1:82" x14ac:dyDescent="0.15">
      <c r="A70" s="68"/>
      <c r="B70" s="9"/>
      <c r="C70" s="52"/>
      <c r="D70" s="62">
        <v>0</v>
      </c>
      <c r="E70" s="1"/>
      <c r="F70" s="53"/>
      <c r="G70" s="62">
        <v>0</v>
      </c>
      <c r="H70" s="1"/>
      <c r="I70" s="53"/>
      <c r="J70" s="62">
        <v>0</v>
      </c>
      <c r="K70" s="1"/>
      <c r="L70" s="53"/>
      <c r="M70" s="62">
        <v>0</v>
      </c>
      <c r="N70" s="48"/>
      <c r="O70" s="52"/>
      <c r="P70" s="54">
        <f>SUM(D70:M70)</f>
        <v>0</v>
      </c>
      <c r="Q70" s="48"/>
      <c r="R70" s="9"/>
      <c r="S70" s="52"/>
      <c r="T70" s="62">
        <v>0</v>
      </c>
      <c r="U70" s="1"/>
      <c r="V70" s="53"/>
      <c r="W70" s="62">
        <v>0</v>
      </c>
      <c r="X70" s="1"/>
      <c r="Y70" s="53"/>
      <c r="Z70" s="62">
        <v>0</v>
      </c>
      <c r="AA70" s="1"/>
      <c r="AB70" s="53"/>
      <c r="AC70" s="62">
        <v>0</v>
      </c>
      <c r="AD70" s="48"/>
      <c r="AE70" s="52"/>
      <c r="AF70" s="54">
        <f>SUM(T70:AC70)</f>
        <v>0</v>
      </c>
      <c r="AG70" s="48"/>
      <c r="AH70" s="9"/>
      <c r="AI70" s="52"/>
      <c r="AJ70" s="62">
        <v>0</v>
      </c>
      <c r="AK70" s="1"/>
      <c r="AL70" s="53"/>
      <c r="AM70" s="62">
        <v>0</v>
      </c>
      <c r="AN70" s="1"/>
      <c r="AO70" s="53"/>
      <c r="AP70" s="62">
        <v>0</v>
      </c>
      <c r="AQ70" s="1"/>
      <c r="AR70" s="53"/>
      <c r="AS70" s="62">
        <v>0</v>
      </c>
      <c r="AT70" s="48"/>
      <c r="AU70" s="52"/>
      <c r="AV70" s="54">
        <f>SUM(AJ70:AS70)</f>
        <v>0</v>
      </c>
      <c r="AW70" s="48"/>
      <c r="AX70" s="9"/>
      <c r="AY70" s="52"/>
      <c r="AZ70" s="62">
        <v>0</v>
      </c>
      <c r="BA70" s="1"/>
      <c r="BB70" s="53"/>
      <c r="BC70" s="62">
        <v>0</v>
      </c>
      <c r="BD70" s="1"/>
      <c r="BE70" s="53"/>
      <c r="BF70" s="62">
        <v>0</v>
      </c>
      <c r="BG70" s="1"/>
      <c r="BH70" s="53"/>
      <c r="BI70" s="62">
        <v>0</v>
      </c>
      <c r="BJ70" s="48"/>
      <c r="BK70" s="52"/>
      <c r="BL70" s="54">
        <f>SUM(AZ70:BI70)</f>
        <v>0</v>
      </c>
      <c r="BM70" s="48"/>
      <c r="BN70" s="70"/>
      <c r="BO70" s="52"/>
      <c r="BP70" s="86">
        <f>+D70+T70+AJ70+AZ70</f>
        <v>0</v>
      </c>
      <c r="BQ70" s="1"/>
      <c r="BR70" s="53"/>
      <c r="BS70" s="86">
        <f>+G70+W70+AM70+BC70</f>
        <v>0</v>
      </c>
      <c r="BT70" s="1"/>
      <c r="BU70" s="53"/>
      <c r="BV70" s="86">
        <f>+J70+Z70+AP70+BF70</f>
        <v>0</v>
      </c>
      <c r="BW70" s="1"/>
      <c r="BX70" s="53"/>
      <c r="BY70" s="86">
        <f>+M70+AC70+AS70+BI70</f>
        <v>0</v>
      </c>
      <c r="BZ70" s="48"/>
      <c r="CA70" s="52"/>
      <c r="CB70" s="54">
        <f>SUM(BP70:BY70)</f>
        <v>0</v>
      </c>
      <c r="CC70" s="48"/>
      <c r="CD70" s="70"/>
    </row>
    <row r="71" spans="1:82" x14ac:dyDescent="0.15">
      <c r="A71" s="60"/>
      <c r="B71" s="9"/>
      <c r="C71" s="48"/>
      <c r="D71" s="57"/>
      <c r="E71" s="1"/>
      <c r="F71" s="1"/>
      <c r="G71" s="57"/>
      <c r="H71" s="1"/>
      <c r="I71" s="1"/>
      <c r="J71" s="57"/>
      <c r="K71" s="1"/>
      <c r="L71" s="1"/>
      <c r="M71" s="57"/>
      <c r="N71" s="48"/>
      <c r="O71" s="48"/>
      <c r="P71" s="51"/>
      <c r="Q71" s="48"/>
      <c r="R71" s="9"/>
      <c r="S71" s="48"/>
      <c r="T71" s="57"/>
      <c r="U71" s="1"/>
      <c r="V71" s="1"/>
      <c r="W71" s="57"/>
      <c r="X71" s="1"/>
      <c r="Y71" s="1"/>
      <c r="Z71" s="57"/>
      <c r="AA71" s="1"/>
      <c r="AB71" s="1"/>
      <c r="AC71" s="57"/>
      <c r="AD71" s="48"/>
      <c r="AE71" s="48"/>
      <c r="AF71" s="51"/>
      <c r="AG71" s="48"/>
      <c r="AH71" s="9"/>
      <c r="AI71" s="48"/>
      <c r="AJ71" s="57"/>
      <c r="AK71" s="1"/>
      <c r="AL71" s="1"/>
      <c r="AM71" s="57"/>
      <c r="AN71" s="1"/>
      <c r="AO71" s="1"/>
      <c r="AP71" s="57"/>
      <c r="AQ71" s="1"/>
      <c r="AR71" s="1"/>
      <c r="AS71" s="57"/>
      <c r="AT71" s="48"/>
      <c r="AU71" s="48"/>
      <c r="AV71" s="51"/>
      <c r="AW71" s="48"/>
      <c r="AX71" s="9"/>
      <c r="AY71" s="48"/>
      <c r="AZ71" s="57"/>
      <c r="BA71" s="1"/>
      <c r="BB71" s="1"/>
      <c r="BC71" s="57"/>
      <c r="BD71" s="1"/>
      <c r="BE71" s="1"/>
      <c r="BF71" s="57"/>
      <c r="BG71" s="1"/>
      <c r="BH71" s="1"/>
      <c r="BI71" s="57"/>
      <c r="BJ71" s="48"/>
      <c r="BK71" s="48"/>
      <c r="BL71" s="51"/>
      <c r="BM71" s="48"/>
      <c r="BN71" s="70"/>
      <c r="BO71" s="48"/>
      <c r="BP71" s="57"/>
      <c r="BQ71" s="1"/>
      <c r="BR71" s="1"/>
      <c r="BS71" s="57"/>
      <c r="BT71" s="1"/>
      <c r="BU71" s="1"/>
      <c r="BV71" s="57"/>
      <c r="BW71" s="1"/>
      <c r="BX71" s="1"/>
      <c r="BY71" s="57"/>
      <c r="BZ71" s="48"/>
      <c r="CA71" s="48"/>
      <c r="CB71" s="51"/>
      <c r="CC71" s="48"/>
      <c r="CD71" s="70"/>
    </row>
    <row r="72" spans="1:82" x14ac:dyDescent="0.15">
      <c r="A72" s="68"/>
      <c r="B72" s="9"/>
      <c r="C72" s="52"/>
      <c r="D72" s="62">
        <v>0</v>
      </c>
      <c r="E72" s="1"/>
      <c r="F72" s="53"/>
      <c r="G72" s="62">
        <v>0</v>
      </c>
      <c r="H72" s="1"/>
      <c r="I72" s="53"/>
      <c r="J72" s="62">
        <v>0</v>
      </c>
      <c r="K72" s="1"/>
      <c r="L72" s="53"/>
      <c r="M72" s="62">
        <v>0</v>
      </c>
      <c r="N72" s="48"/>
      <c r="O72" s="52"/>
      <c r="P72" s="54">
        <f>SUM(D72:M72)</f>
        <v>0</v>
      </c>
      <c r="Q72" s="48"/>
      <c r="R72" s="9"/>
      <c r="S72" s="52"/>
      <c r="T72" s="62">
        <v>0</v>
      </c>
      <c r="U72" s="1"/>
      <c r="V72" s="53"/>
      <c r="W72" s="62">
        <v>0</v>
      </c>
      <c r="X72" s="1"/>
      <c r="Y72" s="53"/>
      <c r="Z72" s="62">
        <v>0</v>
      </c>
      <c r="AA72" s="1"/>
      <c r="AB72" s="53"/>
      <c r="AC72" s="62">
        <v>0</v>
      </c>
      <c r="AD72" s="48"/>
      <c r="AE72" s="52"/>
      <c r="AF72" s="54">
        <f>SUM(T72:AC72)</f>
        <v>0</v>
      </c>
      <c r="AG72" s="48"/>
      <c r="AH72" s="9"/>
      <c r="AI72" s="52"/>
      <c r="AJ72" s="62">
        <v>0</v>
      </c>
      <c r="AK72" s="1"/>
      <c r="AL72" s="53"/>
      <c r="AM72" s="62">
        <v>0</v>
      </c>
      <c r="AN72" s="1"/>
      <c r="AO72" s="53"/>
      <c r="AP72" s="62">
        <v>0</v>
      </c>
      <c r="AQ72" s="1"/>
      <c r="AR72" s="53"/>
      <c r="AS72" s="62">
        <v>0</v>
      </c>
      <c r="AT72" s="48"/>
      <c r="AU72" s="52"/>
      <c r="AV72" s="54">
        <f>SUM(AJ72:AS72)</f>
        <v>0</v>
      </c>
      <c r="AW72" s="48"/>
      <c r="AX72" s="9"/>
      <c r="AY72" s="52"/>
      <c r="AZ72" s="62">
        <v>0</v>
      </c>
      <c r="BA72" s="1"/>
      <c r="BB72" s="53"/>
      <c r="BC72" s="62">
        <v>0</v>
      </c>
      <c r="BD72" s="1"/>
      <c r="BE72" s="53"/>
      <c r="BF72" s="62">
        <v>0</v>
      </c>
      <c r="BG72" s="1"/>
      <c r="BH72" s="53"/>
      <c r="BI72" s="62">
        <v>0</v>
      </c>
      <c r="BJ72" s="48"/>
      <c r="BK72" s="52"/>
      <c r="BL72" s="54">
        <f>SUM(AZ72:BI72)</f>
        <v>0</v>
      </c>
      <c r="BM72" s="48"/>
      <c r="BN72" s="70"/>
      <c r="BO72" s="52"/>
      <c r="BP72" s="86">
        <f>+D72+T72+AJ72+AZ72</f>
        <v>0</v>
      </c>
      <c r="BQ72" s="1"/>
      <c r="BR72" s="53"/>
      <c r="BS72" s="86">
        <f>+G72+W72+AM72+BC72</f>
        <v>0</v>
      </c>
      <c r="BT72" s="1"/>
      <c r="BU72" s="53"/>
      <c r="BV72" s="86">
        <f>+J72+Z72+AP72+BF72</f>
        <v>0</v>
      </c>
      <c r="BW72" s="1"/>
      <c r="BX72" s="53"/>
      <c r="BY72" s="86">
        <f>+M72+AC72+AS72+BI72</f>
        <v>0</v>
      </c>
      <c r="BZ72" s="48"/>
      <c r="CA72" s="52"/>
      <c r="CB72" s="54">
        <f>SUM(BP72:BY72)</f>
        <v>0</v>
      </c>
      <c r="CC72" s="48"/>
      <c r="CD72" s="70"/>
    </row>
    <row r="73" spans="1:82" x14ac:dyDescent="0.15">
      <c r="A73" s="60"/>
      <c r="B73" s="9"/>
      <c r="C73" s="48"/>
      <c r="D73" s="55"/>
      <c r="E73" s="1"/>
      <c r="F73" s="1"/>
      <c r="G73" s="55"/>
      <c r="H73" s="1"/>
      <c r="I73" s="1"/>
      <c r="J73" s="55"/>
      <c r="K73" s="1"/>
      <c r="L73" s="1"/>
      <c r="M73" s="55"/>
      <c r="N73" s="48"/>
      <c r="O73" s="48"/>
      <c r="P73" s="51"/>
      <c r="Q73" s="48"/>
      <c r="R73" s="9"/>
      <c r="S73" s="48"/>
      <c r="T73" s="55"/>
      <c r="U73" s="1"/>
      <c r="V73" s="1"/>
      <c r="W73" s="55"/>
      <c r="X73" s="1"/>
      <c r="Y73" s="1"/>
      <c r="Z73" s="55"/>
      <c r="AA73" s="1"/>
      <c r="AB73" s="1"/>
      <c r="AC73" s="55"/>
      <c r="AD73" s="48"/>
      <c r="AE73" s="48"/>
      <c r="AF73" s="51"/>
      <c r="AG73" s="48"/>
      <c r="AH73" s="9"/>
      <c r="AI73" s="48"/>
      <c r="AJ73" s="55"/>
      <c r="AK73" s="1"/>
      <c r="AL73" s="1"/>
      <c r="AM73" s="55"/>
      <c r="AN73" s="1"/>
      <c r="AO73" s="1"/>
      <c r="AP73" s="55"/>
      <c r="AQ73" s="1"/>
      <c r="AR73" s="1"/>
      <c r="AS73" s="55"/>
      <c r="AT73" s="48"/>
      <c r="AU73" s="48"/>
      <c r="AV73" s="51"/>
      <c r="AW73" s="48"/>
      <c r="AX73" s="9"/>
      <c r="AY73" s="48"/>
      <c r="AZ73" s="55"/>
      <c r="BA73" s="1"/>
      <c r="BB73" s="1"/>
      <c r="BC73" s="55"/>
      <c r="BD73" s="1"/>
      <c r="BE73" s="1"/>
      <c r="BF73" s="55"/>
      <c r="BG73" s="1"/>
      <c r="BH73" s="1"/>
      <c r="BI73" s="55"/>
      <c r="BJ73" s="48"/>
      <c r="BK73" s="48"/>
      <c r="BL73" s="51"/>
      <c r="BM73" s="48"/>
      <c r="BN73" s="70"/>
      <c r="BO73" s="48"/>
      <c r="BP73" s="55"/>
      <c r="BQ73" s="1"/>
      <c r="BR73" s="1"/>
      <c r="BS73" s="55"/>
      <c r="BT73" s="1"/>
      <c r="BU73" s="1"/>
      <c r="BV73" s="55"/>
      <c r="BW73" s="1"/>
      <c r="BX73" s="1"/>
      <c r="BY73" s="55"/>
      <c r="BZ73" s="48"/>
      <c r="CA73" s="48"/>
      <c r="CB73" s="51"/>
      <c r="CC73" s="48"/>
      <c r="CD73" s="70"/>
    </row>
    <row r="74" spans="1:82" x14ac:dyDescent="0.15">
      <c r="A74" s="68"/>
      <c r="B74" s="9"/>
      <c r="C74" s="52"/>
      <c r="D74" s="62">
        <v>0</v>
      </c>
      <c r="E74" s="1"/>
      <c r="F74" s="53"/>
      <c r="G74" s="62">
        <v>0</v>
      </c>
      <c r="H74" s="1"/>
      <c r="I74" s="53"/>
      <c r="J74" s="62">
        <v>0</v>
      </c>
      <c r="K74" s="1"/>
      <c r="L74" s="53"/>
      <c r="M74" s="62">
        <v>0</v>
      </c>
      <c r="N74" s="48"/>
      <c r="O74" s="52"/>
      <c r="P74" s="54">
        <f>SUM(D74:M74)</f>
        <v>0</v>
      </c>
      <c r="Q74" s="48"/>
      <c r="R74" s="9"/>
      <c r="S74" s="52"/>
      <c r="T74" s="62">
        <v>0</v>
      </c>
      <c r="U74" s="1"/>
      <c r="V74" s="53"/>
      <c r="W74" s="62">
        <v>0</v>
      </c>
      <c r="X74" s="1"/>
      <c r="Y74" s="53"/>
      <c r="Z74" s="62">
        <v>0</v>
      </c>
      <c r="AA74" s="1"/>
      <c r="AB74" s="53"/>
      <c r="AC74" s="62">
        <v>0</v>
      </c>
      <c r="AD74" s="48"/>
      <c r="AE74" s="52"/>
      <c r="AF74" s="54">
        <f>SUM(T74:AC74)</f>
        <v>0</v>
      </c>
      <c r="AG74" s="48"/>
      <c r="AH74" s="9"/>
      <c r="AI74" s="52"/>
      <c r="AJ74" s="62">
        <v>0</v>
      </c>
      <c r="AK74" s="1"/>
      <c r="AL74" s="53"/>
      <c r="AM74" s="62">
        <v>0</v>
      </c>
      <c r="AN74" s="1"/>
      <c r="AO74" s="53"/>
      <c r="AP74" s="62">
        <v>0</v>
      </c>
      <c r="AQ74" s="1"/>
      <c r="AR74" s="53"/>
      <c r="AS74" s="62">
        <v>0</v>
      </c>
      <c r="AT74" s="48"/>
      <c r="AU74" s="52"/>
      <c r="AV74" s="54">
        <f>SUM(AJ74:AS74)</f>
        <v>0</v>
      </c>
      <c r="AW74" s="48"/>
      <c r="AX74" s="9"/>
      <c r="AY74" s="52"/>
      <c r="AZ74" s="62">
        <v>0</v>
      </c>
      <c r="BA74" s="1"/>
      <c r="BB74" s="53"/>
      <c r="BC74" s="62">
        <v>0</v>
      </c>
      <c r="BD74" s="1"/>
      <c r="BE74" s="53"/>
      <c r="BF74" s="62">
        <v>0</v>
      </c>
      <c r="BG74" s="1"/>
      <c r="BH74" s="53"/>
      <c r="BI74" s="62">
        <v>0</v>
      </c>
      <c r="BJ74" s="48"/>
      <c r="BK74" s="52"/>
      <c r="BL74" s="54">
        <f>SUM(AZ74:BI74)</f>
        <v>0</v>
      </c>
      <c r="BM74" s="48"/>
      <c r="BN74" s="70"/>
      <c r="BO74" s="52"/>
      <c r="BP74" s="86">
        <f>+D74+T74+AJ74+AZ74</f>
        <v>0</v>
      </c>
      <c r="BQ74" s="1"/>
      <c r="BR74" s="53"/>
      <c r="BS74" s="86">
        <f>+G74+W74+AM74+BC74</f>
        <v>0</v>
      </c>
      <c r="BT74" s="1"/>
      <c r="BU74" s="53"/>
      <c r="BV74" s="86">
        <f>+J74+Z74+AP74+BF74</f>
        <v>0</v>
      </c>
      <c r="BW74" s="1"/>
      <c r="BX74" s="53"/>
      <c r="BY74" s="86">
        <f>+M74+AC74+AS74+BI74</f>
        <v>0</v>
      </c>
      <c r="BZ74" s="48"/>
      <c r="CA74" s="52"/>
      <c r="CB74" s="54">
        <f>SUM(BP74:BY74)</f>
        <v>0</v>
      </c>
      <c r="CC74" s="48"/>
      <c r="CD74" s="70"/>
    </row>
    <row r="75" spans="1:82" x14ac:dyDescent="0.15">
      <c r="A75" s="61"/>
      <c r="B75" s="9"/>
      <c r="C75" s="48"/>
      <c r="D75" s="55"/>
      <c r="E75" s="1"/>
      <c r="F75" s="1"/>
      <c r="G75" s="55"/>
      <c r="H75" s="1"/>
      <c r="I75" s="1"/>
      <c r="J75" s="55"/>
      <c r="K75" s="1"/>
      <c r="L75" s="1"/>
      <c r="M75" s="55"/>
      <c r="N75" s="48"/>
      <c r="O75" s="48"/>
      <c r="P75" s="56"/>
      <c r="Q75" s="48"/>
      <c r="R75" s="9"/>
      <c r="S75" s="48"/>
      <c r="T75" s="55"/>
      <c r="U75" s="1"/>
      <c r="V75" s="1"/>
      <c r="W75" s="55"/>
      <c r="X75" s="1"/>
      <c r="Y75" s="1"/>
      <c r="Z75" s="55"/>
      <c r="AA75" s="1"/>
      <c r="AB75" s="1"/>
      <c r="AC75" s="55"/>
      <c r="AD75" s="48"/>
      <c r="AE75" s="48"/>
      <c r="AF75" s="56"/>
      <c r="AG75" s="48"/>
      <c r="AH75" s="9"/>
      <c r="AI75" s="48"/>
      <c r="AJ75" s="55"/>
      <c r="AK75" s="1"/>
      <c r="AL75" s="1"/>
      <c r="AM75" s="55"/>
      <c r="AN75" s="1"/>
      <c r="AO75" s="1"/>
      <c r="AP75" s="55"/>
      <c r="AQ75" s="1"/>
      <c r="AR75" s="1"/>
      <c r="AS75" s="55"/>
      <c r="AT75" s="48"/>
      <c r="AU75" s="48"/>
      <c r="AV75" s="56"/>
      <c r="AW75" s="48"/>
      <c r="AX75" s="9"/>
      <c r="AY75" s="48"/>
      <c r="AZ75" s="55"/>
      <c r="BA75" s="1"/>
      <c r="BB75" s="1"/>
      <c r="BC75" s="55"/>
      <c r="BD75" s="1"/>
      <c r="BE75" s="1"/>
      <c r="BF75" s="55"/>
      <c r="BG75" s="1"/>
      <c r="BH75" s="1"/>
      <c r="BI75" s="55"/>
      <c r="BJ75" s="48"/>
      <c r="BK75" s="48"/>
      <c r="BL75" s="56"/>
      <c r="BM75" s="48"/>
      <c r="BN75" s="70"/>
      <c r="BO75" s="48"/>
      <c r="BP75" s="55"/>
      <c r="BQ75" s="1"/>
      <c r="BR75" s="1"/>
      <c r="BS75" s="55"/>
      <c r="BT75" s="1"/>
      <c r="BU75" s="1"/>
      <c r="BV75" s="55"/>
      <c r="BW75" s="1"/>
      <c r="BX75" s="1"/>
      <c r="BY75" s="55"/>
      <c r="BZ75" s="48"/>
      <c r="CA75" s="48"/>
      <c r="CB75" s="56"/>
      <c r="CC75" s="48"/>
      <c r="CD75" s="70"/>
    </row>
    <row r="76" spans="1:82" x14ac:dyDescent="0.15">
      <c r="A76" s="68"/>
      <c r="B76" s="9"/>
      <c r="C76" s="52"/>
      <c r="D76" s="62">
        <v>0</v>
      </c>
      <c r="E76" s="1"/>
      <c r="F76" s="53"/>
      <c r="G76" s="62">
        <v>0</v>
      </c>
      <c r="H76" s="1"/>
      <c r="I76" s="53"/>
      <c r="J76" s="62">
        <v>0</v>
      </c>
      <c r="K76" s="1"/>
      <c r="L76" s="53"/>
      <c r="M76" s="62">
        <v>0</v>
      </c>
      <c r="N76" s="48"/>
      <c r="O76" s="52"/>
      <c r="P76" s="54">
        <f>SUM(D76:M76)</f>
        <v>0</v>
      </c>
      <c r="Q76" s="48"/>
      <c r="R76" s="9"/>
      <c r="S76" s="52"/>
      <c r="T76" s="62">
        <v>0</v>
      </c>
      <c r="U76" s="1"/>
      <c r="V76" s="53"/>
      <c r="W76" s="62">
        <v>0</v>
      </c>
      <c r="X76" s="1"/>
      <c r="Y76" s="53"/>
      <c r="Z76" s="62">
        <v>0</v>
      </c>
      <c r="AA76" s="1"/>
      <c r="AB76" s="53"/>
      <c r="AC76" s="62">
        <v>0</v>
      </c>
      <c r="AD76" s="48"/>
      <c r="AE76" s="52"/>
      <c r="AF76" s="54">
        <f>SUM(T76:AC76)</f>
        <v>0</v>
      </c>
      <c r="AG76" s="48"/>
      <c r="AH76" s="9"/>
      <c r="AI76" s="52"/>
      <c r="AJ76" s="62">
        <v>0</v>
      </c>
      <c r="AK76" s="1"/>
      <c r="AL76" s="53"/>
      <c r="AM76" s="62">
        <v>0</v>
      </c>
      <c r="AN76" s="1"/>
      <c r="AO76" s="53"/>
      <c r="AP76" s="62">
        <v>0</v>
      </c>
      <c r="AQ76" s="1"/>
      <c r="AR76" s="53"/>
      <c r="AS76" s="62">
        <v>0</v>
      </c>
      <c r="AT76" s="48"/>
      <c r="AU76" s="52"/>
      <c r="AV76" s="54">
        <f>SUM(AJ76:AS76)</f>
        <v>0</v>
      </c>
      <c r="AW76" s="48"/>
      <c r="AX76" s="9"/>
      <c r="AY76" s="52"/>
      <c r="AZ76" s="62">
        <v>0</v>
      </c>
      <c r="BA76" s="1"/>
      <c r="BB76" s="53"/>
      <c r="BC76" s="62">
        <v>0</v>
      </c>
      <c r="BD76" s="1"/>
      <c r="BE76" s="53"/>
      <c r="BF76" s="62">
        <v>0</v>
      </c>
      <c r="BG76" s="1"/>
      <c r="BH76" s="53"/>
      <c r="BI76" s="62">
        <v>0</v>
      </c>
      <c r="BJ76" s="48"/>
      <c r="BK76" s="52"/>
      <c r="BL76" s="54">
        <f>SUM(AZ76:BI76)</f>
        <v>0</v>
      </c>
      <c r="BM76" s="48"/>
      <c r="BN76" s="70"/>
      <c r="BO76" s="52"/>
      <c r="BP76" s="86">
        <f>+D76+T76+AJ76+AZ76</f>
        <v>0</v>
      </c>
      <c r="BQ76" s="1"/>
      <c r="BR76" s="53"/>
      <c r="BS76" s="86">
        <f>+G76+W76+AM76+BC76</f>
        <v>0</v>
      </c>
      <c r="BT76" s="1"/>
      <c r="BU76" s="53"/>
      <c r="BV76" s="86">
        <f>+J76+Z76+AP76+BF76</f>
        <v>0</v>
      </c>
      <c r="BW76" s="1"/>
      <c r="BX76" s="53"/>
      <c r="BY76" s="86">
        <f>+M76+AC76+AS76+BI76</f>
        <v>0</v>
      </c>
      <c r="BZ76" s="48"/>
      <c r="CA76" s="52"/>
      <c r="CB76" s="54">
        <f>SUM(BP76:BY76)</f>
        <v>0</v>
      </c>
      <c r="CC76" s="48"/>
      <c r="CD76" s="70"/>
    </row>
    <row r="77" spans="1:82" x14ac:dyDescent="0.15">
      <c r="A77" s="60"/>
      <c r="B77" s="9"/>
      <c r="C77" s="48"/>
      <c r="D77" s="57"/>
      <c r="E77" s="1"/>
      <c r="F77" s="1"/>
      <c r="G77" s="57"/>
      <c r="H77" s="1"/>
      <c r="I77" s="1"/>
      <c r="J77" s="57"/>
      <c r="K77" s="1"/>
      <c r="L77" s="1"/>
      <c r="M77" s="57"/>
      <c r="N77" s="48"/>
      <c r="O77" s="48"/>
      <c r="P77" s="51"/>
      <c r="Q77" s="48"/>
      <c r="R77" s="9"/>
      <c r="S77" s="48"/>
      <c r="T77" s="57"/>
      <c r="U77" s="1"/>
      <c r="V77" s="1"/>
      <c r="W77" s="57"/>
      <c r="X77" s="1"/>
      <c r="Y77" s="1"/>
      <c r="Z77" s="57"/>
      <c r="AA77" s="1"/>
      <c r="AB77" s="1"/>
      <c r="AC77" s="57"/>
      <c r="AD77" s="48"/>
      <c r="AE77" s="48"/>
      <c r="AF77" s="51"/>
      <c r="AG77" s="48"/>
      <c r="AH77" s="9"/>
      <c r="AI77" s="48"/>
      <c r="AJ77" s="57"/>
      <c r="AK77" s="1"/>
      <c r="AL77" s="1"/>
      <c r="AM77" s="57"/>
      <c r="AN77" s="1"/>
      <c r="AO77" s="1"/>
      <c r="AP77" s="57"/>
      <c r="AQ77" s="1"/>
      <c r="AR77" s="1"/>
      <c r="AS77" s="57"/>
      <c r="AT77" s="48"/>
      <c r="AU77" s="48"/>
      <c r="AV77" s="51"/>
      <c r="AW77" s="48"/>
      <c r="AX77" s="9"/>
      <c r="AY77" s="48"/>
      <c r="AZ77" s="57"/>
      <c r="BA77" s="1"/>
      <c r="BB77" s="1"/>
      <c r="BC77" s="57"/>
      <c r="BD77" s="1"/>
      <c r="BE77" s="1"/>
      <c r="BF77" s="57"/>
      <c r="BG77" s="1"/>
      <c r="BH77" s="1"/>
      <c r="BI77" s="57"/>
      <c r="BJ77" s="48"/>
      <c r="BK77" s="48"/>
      <c r="BL77" s="51"/>
      <c r="BM77" s="48"/>
      <c r="BN77" s="70"/>
      <c r="BO77" s="48"/>
      <c r="BP77" s="57"/>
      <c r="BQ77" s="1"/>
      <c r="BR77" s="1"/>
      <c r="BS77" s="57"/>
      <c r="BT77" s="1"/>
      <c r="BU77" s="1"/>
      <c r="BV77" s="57"/>
      <c r="BW77" s="1"/>
      <c r="BX77" s="1"/>
      <c r="BY77" s="57"/>
      <c r="BZ77" s="48"/>
      <c r="CA77" s="48"/>
      <c r="CB77" s="51"/>
      <c r="CC77" s="48"/>
      <c r="CD77" s="70"/>
    </row>
    <row r="78" spans="1:82" x14ac:dyDescent="0.15">
      <c r="A78" s="68"/>
      <c r="B78" s="9"/>
      <c r="C78" s="52"/>
      <c r="D78" s="62">
        <v>0</v>
      </c>
      <c r="E78" s="1"/>
      <c r="F78" s="53"/>
      <c r="G78" s="62">
        <v>0</v>
      </c>
      <c r="H78" s="1"/>
      <c r="I78" s="53"/>
      <c r="J78" s="62">
        <v>0</v>
      </c>
      <c r="K78" s="1"/>
      <c r="L78" s="53"/>
      <c r="M78" s="62">
        <v>0</v>
      </c>
      <c r="N78" s="48"/>
      <c r="O78" s="52"/>
      <c r="P78" s="54">
        <f>SUM(D78:M78)</f>
        <v>0</v>
      </c>
      <c r="Q78" s="48"/>
      <c r="R78" s="9"/>
      <c r="S78" s="52"/>
      <c r="T78" s="62">
        <v>0</v>
      </c>
      <c r="U78" s="1"/>
      <c r="V78" s="53"/>
      <c r="W78" s="62">
        <v>0</v>
      </c>
      <c r="X78" s="1"/>
      <c r="Y78" s="53"/>
      <c r="Z78" s="62">
        <v>0</v>
      </c>
      <c r="AA78" s="1"/>
      <c r="AB78" s="53"/>
      <c r="AC78" s="62">
        <v>0</v>
      </c>
      <c r="AD78" s="48"/>
      <c r="AE78" s="52"/>
      <c r="AF78" s="54">
        <f>SUM(T78:AC78)</f>
        <v>0</v>
      </c>
      <c r="AG78" s="48"/>
      <c r="AH78" s="9"/>
      <c r="AI78" s="52"/>
      <c r="AJ78" s="62">
        <v>0</v>
      </c>
      <c r="AK78" s="1"/>
      <c r="AL78" s="53"/>
      <c r="AM78" s="62">
        <v>0</v>
      </c>
      <c r="AN78" s="1"/>
      <c r="AO78" s="53"/>
      <c r="AP78" s="62">
        <v>0</v>
      </c>
      <c r="AQ78" s="1"/>
      <c r="AR78" s="53"/>
      <c r="AS78" s="62">
        <v>0</v>
      </c>
      <c r="AT78" s="48"/>
      <c r="AU78" s="52"/>
      <c r="AV78" s="54">
        <f>SUM(AJ78:AS78)</f>
        <v>0</v>
      </c>
      <c r="AW78" s="48"/>
      <c r="AX78" s="9"/>
      <c r="AY78" s="52"/>
      <c r="AZ78" s="62">
        <v>0</v>
      </c>
      <c r="BA78" s="1"/>
      <c r="BB78" s="53"/>
      <c r="BC78" s="62">
        <v>0</v>
      </c>
      <c r="BD78" s="1"/>
      <c r="BE78" s="53"/>
      <c r="BF78" s="62">
        <v>0</v>
      </c>
      <c r="BG78" s="1"/>
      <c r="BH78" s="53"/>
      <c r="BI78" s="62">
        <v>0</v>
      </c>
      <c r="BJ78" s="48"/>
      <c r="BK78" s="52"/>
      <c r="BL78" s="54">
        <f>SUM(AZ78:BI78)</f>
        <v>0</v>
      </c>
      <c r="BM78" s="48"/>
      <c r="BN78" s="70"/>
      <c r="BO78" s="52"/>
      <c r="BP78" s="86">
        <f>+D78+T78+AJ78+AZ78</f>
        <v>0</v>
      </c>
      <c r="BQ78" s="1"/>
      <c r="BR78" s="53"/>
      <c r="BS78" s="86">
        <f>+G78+W78+AM78+BC78</f>
        <v>0</v>
      </c>
      <c r="BT78" s="1"/>
      <c r="BU78" s="53"/>
      <c r="BV78" s="86">
        <f>+J78+Z78+AP78+BF78</f>
        <v>0</v>
      </c>
      <c r="BW78" s="1"/>
      <c r="BX78" s="53"/>
      <c r="BY78" s="86">
        <f>+M78+AC78+AS78+BI78</f>
        <v>0</v>
      </c>
      <c r="BZ78" s="48"/>
      <c r="CA78" s="52"/>
      <c r="CB78" s="54">
        <f>SUM(BP78:BY78)</f>
        <v>0</v>
      </c>
      <c r="CC78" s="48"/>
      <c r="CD78" s="70"/>
    </row>
    <row r="79" spans="1:82" x14ac:dyDescent="0.15">
      <c r="A79" s="1"/>
      <c r="B79" s="9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58"/>
      <c r="Q79" s="48"/>
      <c r="R79" s="9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58"/>
      <c r="AG79" s="48"/>
      <c r="AH79" s="9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58"/>
      <c r="AW79" s="48"/>
      <c r="AX79" s="9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58"/>
      <c r="BM79" s="48"/>
      <c r="BN79" s="70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  <c r="CA79" s="48"/>
      <c r="CB79" s="58"/>
      <c r="CC79" s="48"/>
      <c r="CD79" s="70"/>
    </row>
    <row r="80" spans="1:82" x14ac:dyDescent="0.15">
      <c r="A80" s="1"/>
      <c r="B80" s="9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O80" s="48"/>
      <c r="BP80" s="48"/>
      <c r="BQ80" s="48"/>
      <c r="BR80" s="48"/>
      <c r="BS80" s="48"/>
      <c r="BT80" s="48"/>
      <c r="BU80" s="48"/>
      <c r="BV80" s="48"/>
      <c r="BW80" s="48"/>
      <c r="BX80" s="48"/>
      <c r="BY80" s="48"/>
      <c r="BZ80" s="48"/>
      <c r="CA80" s="48"/>
      <c r="CB80" s="48"/>
      <c r="CC80" s="48"/>
    </row>
    <row r="81" spans="67:81" x14ac:dyDescent="0.15"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</row>
    <row r="82" spans="67:81" x14ac:dyDescent="0.15"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</row>
    <row r="83" spans="67:81" x14ac:dyDescent="0.15"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</row>
  </sheetData>
  <mergeCells count="11">
    <mergeCell ref="BP2:CB2"/>
    <mergeCell ref="BP4:CB4"/>
    <mergeCell ref="AJ2:AV2"/>
    <mergeCell ref="AJ4:AV4"/>
    <mergeCell ref="AZ4:BL4"/>
    <mergeCell ref="AZ2:BL2"/>
    <mergeCell ref="A2:A6"/>
    <mergeCell ref="D4:P4"/>
    <mergeCell ref="D2:P2"/>
    <mergeCell ref="T2:AF2"/>
    <mergeCell ref="T4:AF4"/>
  </mergeCells>
  <phoneticPr fontId="0" type="noConversion"/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51" fitToWidth="5" orientation="landscape"/>
  <headerFooter>
    <oddHeader>&amp;L&amp;F&amp;R&amp;A</oddHeader>
    <oddFooter>&amp;CPágina &amp;P de &amp;N</oddFooter>
  </headerFooter>
  <colBreaks count="2" manualBreakCount="2">
    <brk id="34" max="1048575" man="1"/>
    <brk id="6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tabColor indexed="10"/>
    <pageSetUpPr fitToPage="1"/>
  </sheetPr>
  <dimension ref="A1:AB150"/>
  <sheetViews>
    <sheetView topLeftCell="A7" zoomScale="75" workbookViewId="0">
      <selection activeCell="B18" sqref="B18"/>
    </sheetView>
  </sheetViews>
  <sheetFormatPr baseColWidth="10" defaultRowHeight="13" x14ac:dyDescent="0.15"/>
  <cols>
    <col min="1" max="1" width="5.1640625" customWidth="1"/>
    <col min="2" max="2" width="46.33203125" customWidth="1"/>
    <col min="3" max="3" width="12.1640625" customWidth="1"/>
    <col min="4" max="4" width="2.5" customWidth="1"/>
    <col min="8" max="8" width="3" customWidth="1"/>
    <col min="12" max="12" width="7" customWidth="1"/>
    <col min="13" max="13" width="4.6640625" customWidth="1"/>
  </cols>
  <sheetData>
    <row r="1" spans="1:28" x14ac:dyDescent="0.15">
      <c r="A1" s="22"/>
      <c r="B1" s="22"/>
      <c r="C1" s="22"/>
      <c r="D1" s="28"/>
      <c r="E1" s="28"/>
      <c r="F1" s="28"/>
      <c r="G1" s="28"/>
      <c r="H1" s="28"/>
      <c r="I1" s="28"/>
      <c r="J1" s="28"/>
      <c r="K1" s="28"/>
      <c r="L1" s="28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ht="12.75" customHeight="1" x14ac:dyDescent="0.15">
      <c r="A2" s="22"/>
      <c r="B2" s="329" t="s">
        <v>44</v>
      </c>
      <c r="C2" s="22"/>
      <c r="D2" s="28"/>
      <c r="E2" s="28"/>
      <c r="F2" s="28"/>
      <c r="G2" s="175" t="s">
        <v>46</v>
      </c>
      <c r="H2" s="28"/>
      <c r="I2" s="171"/>
      <c r="J2" s="196" t="s">
        <v>28</v>
      </c>
      <c r="K2" s="182" t="s">
        <v>45</v>
      </c>
      <c r="L2" s="28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spans="1:28" ht="12.75" customHeight="1" x14ac:dyDescent="0.15">
      <c r="A3" s="22"/>
      <c r="B3" s="329"/>
      <c r="C3" s="22"/>
      <c r="D3" s="28"/>
      <c r="E3" s="28"/>
      <c r="F3" s="28"/>
      <c r="G3" s="193" t="s">
        <v>13</v>
      </c>
      <c r="H3" s="28"/>
      <c r="I3" s="199" t="s">
        <v>11</v>
      </c>
      <c r="J3" s="197" t="s">
        <v>4</v>
      </c>
      <c r="K3" s="200" t="s">
        <v>47</v>
      </c>
      <c r="L3" s="28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ht="12.75" customHeight="1" x14ac:dyDescent="0.15">
      <c r="A4" s="22"/>
      <c r="B4" s="329"/>
      <c r="C4" s="22"/>
      <c r="D4" s="28"/>
      <c r="E4" s="28"/>
      <c r="F4" s="28"/>
      <c r="G4" s="178"/>
      <c r="H4" s="28"/>
      <c r="I4" s="174"/>
      <c r="J4" s="198"/>
      <c r="K4" s="201"/>
      <c r="L4" s="28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 spans="1:28" ht="12.75" customHeight="1" x14ac:dyDescent="0.15">
      <c r="A5" s="22"/>
      <c r="B5" s="329"/>
      <c r="C5" s="22"/>
      <c r="D5" s="28"/>
      <c r="E5" s="28"/>
      <c r="F5" s="28"/>
      <c r="G5" s="176">
        <v>1</v>
      </c>
      <c r="H5" s="28"/>
      <c r="I5" s="172" t="s">
        <v>9</v>
      </c>
      <c r="J5" s="194">
        <v>0.25</v>
      </c>
      <c r="K5" s="192">
        <v>0.1</v>
      </c>
      <c r="L5" s="28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12.75" customHeight="1" x14ac:dyDescent="0.15">
      <c r="A6" s="22"/>
      <c r="B6" s="329"/>
      <c r="C6" s="22"/>
      <c r="D6" s="28"/>
      <c r="E6" s="28"/>
      <c r="F6" s="28"/>
      <c r="G6" s="176">
        <v>0.8</v>
      </c>
      <c r="H6" s="28"/>
      <c r="I6" s="172" t="s">
        <v>6</v>
      </c>
      <c r="J6" s="194">
        <v>0.2</v>
      </c>
      <c r="K6" s="183">
        <v>0.08</v>
      </c>
      <c r="L6" s="28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 spans="1:28" ht="12.75" customHeight="1" x14ac:dyDescent="0.15">
      <c r="A7" s="22"/>
      <c r="B7" s="329"/>
      <c r="C7" s="22"/>
      <c r="D7" s="28"/>
      <c r="E7" s="28"/>
      <c r="F7" s="28"/>
      <c r="G7" s="176">
        <v>0.6</v>
      </c>
      <c r="H7" s="28"/>
      <c r="I7" s="172" t="s">
        <v>7</v>
      </c>
      <c r="J7" s="194">
        <v>0.15</v>
      </c>
      <c r="K7" s="183">
        <v>0.06</v>
      </c>
      <c r="L7" s="28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 spans="1:28" ht="12.75" customHeight="1" x14ac:dyDescent="0.15">
      <c r="A8" s="22"/>
      <c r="B8" s="329"/>
      <c r="C8" s="22"/>
      <c r="D8" s="28"/>
      <c r="E8" s="28"/>
      <c r="F8" s="28"/>
      <c r="G8" s="176">
        <v>0.4</v>
      </c>
      <c r="H8" s="28"/>
      <c r="I8" s="172" t="s">
        <v>8</v>
      </c>
      <c r="J8" s="194">
        <v>0.1</v>
      </c>
      <c r="K8" s="183">
        <v>0.04</v>
      </c>
      <c r="L8" s="28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 spans="1:28" x14ac:dyDescent="0.15">
      <c r="A9" s="22"/>
      <c r="B9" s="329"/>
      <c r="C9" s="22"/>
      <c r="D9" s="28"/>
      <c r="E9" s="28"/>
      <c r="F9" s="28"/>
      <c r="G9" s="176">
        <v>0.2</v>
      </c>
      <c r="H9" s="28"/>
      <c r="I9" s="172" t="s">
        <v>10</v>
      </c>
      <c r="J9" s="194">
        <v>0.05</v>
      </c>
      <c r="K9" s="183">
        <v>0.02</v>
      </c>
      <c r="L9" s="28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</row>
    <row r="10" spans="1:28" x14ac:dyDescent="0.15">
      <c r="A10" s="22"/>
      <c r="B10" s="22"/>
      <c r="C10" s="22"/>
      <c r="D10" s="28"/>
      <c r="E10" s="28"/>
      <c r="F10" s="28"/>
      <c r="G10" s="177">
        <v>0</v>
      </c>
      <c r="H10" s="28"/>
      <c r="I10" s="173" t="s">
        <v>14</v>
      </c>
      <c r="J10" s="195">
        <v>0</v>
      </c>
      <c r="K10" s="184">
        <v>0</v>
      </c>
      <c r="L10" s="28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</row>
    <row r="11" spans="1:28" ht="14" thickBot="1" x14ac:dyDescent="0.2">
      <c r="A11" s="27"/>
      <c r="B11" s="27"/>
      <c r="C11" s="27"/>
      <c r="D11" s="27"/>
      <c r="E11" s="28"/>
      <c r="F11" s="28"/>
      <c r="G11" s="28"/>
      <c r="H11" s="28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 spans="1:28" s="8" customFormat="1" ht="38.25" customHeight="1" thickBot="1" x14ac:dyDescent="0.2">
      <c r="A12" s="31" t="s">
        <v>32</v>
      </c>
      <c r="B12" s="32"/>
      <c r="C12" s="330" t="str">
        <f>+Definición!C2</f>
        <v>TRIPMATE</v>
      </c>
      <c r="D12" s="330"/>
      <c r="E12" s="330"/>
      <c r="F12" s="330"/>
      <c r="G12" s="330"/>
      <c r="H12" s="330"/>
      <c r="I12" s="330"/>
      <c r="J12" s="330"/>
      <c r="K12" s="330"/>
      <c r="L12" s="331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 spans="1:28" ht="14" thickBot="1" x14ac:dyDescent="0.2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 spans="1:28" s="7" customFormat="1" ht="17" thickTop="1" x14ac:dyDescent="0.2">
      <c r="A14" s="207" t="s">
        <v>31</v>
      </c>
      <c r="B14" s="88"/>
      <c r="C14" s="328" t="str">
        <f>+Definición!C4</f>
        <v>TRIPMATE</v>
      </c>
      <c r="D14" s="328"/>
      <c r="E14" s="328"/>
      <c r="F14" s="328"/>
      <c r="G14" s="328"/>
      <c r="H14" s="328"/>
      <c r="I14" s="328"/>
      <c r="J14" s="328"/>
      <c r="K14" s="328"/>
      <c r="L14" s="97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</row>
    <row r="15" spans="1:28" s="7" customFormat="1" ht="16" x14ac:dyDescent="0.2">
      <c r="A15" s="179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1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</row>
    <row r="16" spans="1:28" x14ac:dyDescent="0.15">
      <c r="A16" s="89"/>
      <c r="B16" s="185" t="s">
        <v>29</v>
      </c>
      <c r="C16" s="186" t="s">
        <v>13</v>
      </c>
      <c r="D16" s="185"/>
      <c r="E16" s="332" t="s">
        <v>5</v>
      </c>
      <c r="F16" s="332"/>
      <c r="G16" s="332"/>
      <c r="H16" s="185"/>
      <c r="I16" s="332" t="s">
        <v>12</v>
      </c>
      <c r="J16" s="332"/>
      <c r="K16" s="332"/>
      <c r="L16" s="188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 spans="1:28" x14ac:dyDescent="0.15">
      <c r="A17" s="89"/>
      <c r="B17" s="90"/>
      <c r="C17" s="189"/>
      <c r="D17" s="187"/>
      <c r="E17" s="99" t="s">
        <v>4</v>
      </c>
      <c r="F17" s="100" t="s">
        <v>15</v>
      </c>
      <c r="G17" s="100" t="s">
        <v>16</v>
      </c>
      <c r="H17" s="185"/>
      <c r="I17" s="190" t="s">
        <v>4</v>
      </c>
      <c r="J17" s="191" t="s">
        <v>15</v>
      </c>
      <c r="K17" s="191" t="s">
        <v>16</v>
      </c>
      <c r="L17" s="188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 spans="1:28" x14ac:dyDescent="0.15">
      <c r="A18" s="89" t="s">
        <v>17</v>
      </c>
      <c r="B18" s="243" t="s">
        <v>97</v>
      </c>
      <c r="C18" s="102">
        <v>0.2</v>
      </c>
      <c r="D18" s="101"/>
      <c r="E18" s="34" t="s">
        <v>8</v>
      </c>
      <c r="F18" s="34" t="s">
        <v>6</v>
      </c>
      <c r="G18" s="35" t="s">
        <v>7</v>
      </c>
      <c r="H18" s="98"/>
      <c r="I18" s="92">
        <f>0+(VLOOKUP(E18,$I$5:$K$10,2,FALSE))*C18</f>
        <v>2.0000000000000004E-2</v>
      </c>
      <c r="J18" s="92">
        <f>VLOOKUP(F18,$I$5:$K$10,3,FALSE)*$C18</f>
        <v>1.6E-2</v>
      </c>
      <c r="K18" s="202">
        <f>VLOOKUP(G18,$I$5:$K$10,3,FALSE)*$C18</f>
        <v>1.2E-2</v>
      </c>
      <c r="L18" s="93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 spans="1:28" x14ac:dyDescent="0.15">
      <c r="A19" s="89" t="s">
        <v>18</v>
      </c>
      <c r="B19" s="243"/>
      <c r="C19" s="103"/>
      <c r="D19" s="101"/>
      <c r="E19" s="34" t="s">
        <v>14</v>
      </c>
      <c r="F19" s="34" t="s">
        <v>14</v>
      </c>
      <c r="G19" s="36" t="s">
        <v>14</v>
      </c>
      <c r="H19" s="98"/>
      <c r="I19" s="92">
        <f t="shared" ref="I19:I27" si="0">0+(VLOOKUP(E19,$I$5:$K$10,2,FALSE))*C19</f>
        <v>0</v>
      </c>
      <c r="J19" s="92">
        <f t="shared" ref="J19:K27" si="1">VLOOKUP(F19,$I$5:$K$10,3,FALSE)*$C19</f>
        <v>0</v>
      </c>
      <c r="K19" s="203">
        <f t="shared" si="1"/>
        <v>0</v>
      </c>
      <c r="L19" s="93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 spans="1:28" x14ac:dyDescent="0.15">
      <c r="A20" s="89" t="s">
        <v>19</v>
      </c>
      <c r="B20" s="33"/>
      <c r="C20" s="103"/>
      <c r="D20" s="101"/>
      <c r="E20" s="34" t="s">
        <v>14</v>
      </c>
      <c r="F20" s="34" t="s">
        <v>14</v>
      </c>
      <c r="G20" s="36" t="s">
        <v>14</v>
      </c>
      <c r="H20" s="98"/>
      <c r="I20" s="92">
        <f t="shared" si="0"/>
        <v>0</v>
      </c>
      <c r="J20" s="92">
        <f t="shared" si="1"/>
        <v>0</v>
      </c>
      <c r="K20" s="203">
        <f t="shared" si="1"/>
        <v>0</v>
      </c>
      <c r="L20" s="93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spans="1:28" x14ac:dyDescent="0.15">
      <c r="A21" s="89" t="s">
        <v>20</v>
      </c>
      <c r="B21" s="33"/>
      <c r="C21" s="103"/>
      <c r="D21" s="101"/>
      <c r="E21" s="34" t="s">
        <v>14</v>
      </c>
      <c r="F21" s="34" t="s">
        <v>14</v>
      </c>
      <c r="G21" s="36" t="s">
        <v>14</v>
      </c>
      <c r="H21" s="98"/>
      <c r="I21" s="92">
        <f t="shared" si="0"/>
        <v>0</v>
      </c>
      <c r="J21" s="92">
        <f t="shared" si="1"/>
        <v>0</v>
      </c>
      <c r="K21" s="203">
        <f t="shared" si="1"/>
        <v>0</v>
      </c>
      <c r="L21" s="93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 spans="1:28" x14ac:dyDescent="0.15">
      <c r="A22" s="89" t="s">
        <v>21</v>
      </c>
      <c r="B22" s="33"/>
      <c r="C22" s="103"/>
      <c r="D22" s="101"/>
      <c r="E22" s="34" t="s">
        <v>14</v>
      </c>
      <c r="F22" s="34" t="s">
        <v>14</v>
      </c>
      <c r="G22" s="36" t="s">
        <v>14</v>
      </c>
      <c r="H22" s="98"/>
      <c r="I22" s="92">
        <f t="shared" si="0"/>
        <v>0</v>
      </c>
      <c r="J22" s="92">
        <f t="shared" si="1"/>
        <v>0</v>
      </c>
      <c r="K22" s="203">
        <f t="shared" si="1"/>
        <v>0</v>
      </c>
      <c r="L22" s="93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 spans="1:28" x14ac:dyDescent="0.15">
      <c r="A23" s="89" t="s">
        <v>22</v>
      </c>
      <c r="B23" s="33"/>
      <c r="C23" s="103"/>
      <c r="D23" s="101"/>
      <c r="E23" s="34" t="s">
        <v>14</v>
      </c>
      <c r="F23" s="34" t="s">
        <v>14</v>
      </c>
      <c r="G23" s="36" t="s">
        <v>14</v>
      </c>
      <c r="H23" s="98"/>
      <c r="I23" s="92">
        <f t="shared" si="0"/>
        <v>0</v>
      </c>
      <c r="J23" s="92">
        <f t="shared" si="1"/>
        <v>0</v>
      </c>
      <c r="K23" s="203">
        <f t="shared" si="1"/>
        <v>0</v>
      </c>
      <c r="L23" s="93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spans="1:28" x14ac:dyDescent="0.15">
      <c r="A24" s="89" t="s">
        <v>23</v>
      </c>
      <c r="B24" s="33"/>
      <c r="C24" s="103"/>
      <c r="D24" s="101"/>
      <c r="E24" s="34" t="s">
        <v>14</v>
      </c>
      <c r="F24" s="34" t="s">
        <v>14</v>
      </c>
      <c r="G24" s="36" t="s">
        <v>14</v>
      </c>
      <c r="H24" s="98"/>
      <c r="I24" s="92">
        <f t="shared" si="0"/>
        <v>0</v>
      </c>
      <c r="J24" s="92">
        <f t="shared" si="1"/>
        <v>0</v>
      </c>
      <c r="K24" s="203">
        <f t="shared" si="1"/>
        <v>0</v>
      </c>
      <c r="L24" s="93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 spans="1:28" x14ac:dyDescent="0.15">
      <c r="A25" s="89" t="s">
        <v>24</v>
      </c>
      <c r="B25" s="33"/>
      <c r="C25" s="103"/>
      <c r="D25" s="101"/>
      <c r="E25" s="34" t="s">
        <v>14</v>
      </c>
      <c r="F25" s="34" t="s">
        <v>14</v>
      </c>
      <c r="G25" s="36" t="s">
        <v>14</v>
      </c>
      <c r="H25" s="98"/>
      <c r="I25" s="92">
        <f t="shared" si="0"/>
        <v>0</v>
      </c>
      <c r="J25" s="92">
        <f t="shared" si="1"/>
        <v>0</v>
      </c>
      <c r="K25" s="203">
        <f t="shared" si="1"/>
        <v>0</v>
      </c>
      <c r="L25" s="93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 spans="1:28" x14ac:dyDescent="0.15">
      <c r="A26" s="89" t="s">
        <v>25</v>
      </c>
      <c r="B26" s="33"/>
      <c r="C26" s="103"/>
      <c r="D26" s="101"/>
      <c r="E26" s="34" t="s">
        <v>14</v>
      </c>
      <c r="F26" s="34" t="s">
        <v>14</v>
      </c>
      <c r="G26" s="36" t="s">
        <v>14</v>
      </c>
      <c r="H26" s="98"/>
      <c r="I26" s="92">
        <f t="shared" si="0"/>
        <v>0</v>
      </c>
      <c r="J26" s="92">
        <f t="shared" si="1"/>
        <v>0</v>
      </c>
      <c r="K26" s="203">
        <f t="shared" si="1"/>
        <v>0</v>
      </c>
      <c r="L26" s="93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 spans="1:28" x14ac:dyDescent="0.15">
      <c r="A27" s="89" t="s">
        <v>26</v>
      </c>
      <c r="B27" s="33"/>
      <c r="C27" s="104"/>
      <c r="D27" s="101"/>
      <c r="E27" s="37" t="s">
        <v>14</v>
      </c>
      <c r="F27" s="38" t="s">
        <v>14</v>
      </c>
      <c r="G27" s="39" t="s">
        <v>14</v>
      </c>
      <c r="H27" s="98"/>
      <c r="I27" s="204">
        <f t="shared" si="0"/>
        <v>0</v>
      </c>
      <c r="J27" s="205">
        <f t="shared" si="1"/>
        <v>0</v>
      </c>
      <c r="K27" s="206">
        <f t="shared" si="1"/>
        <v>0</v>
      </c>
      <c r="L27" s="93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</row>
    <row r="28" spans="1:28" x14ac:dyDescent="0.15">
      <c r="A28" s="89"/>
      <c r="B28" s="90"/>
      <c r="C28" s="90"/>
      <c r="D28" s="90"/>
      <c r="E28" s="90"/>
      <c r="F28" s="90"/>
      <c r="G28" s="90"/>
      <c r="H28" s="90"/>
      <c r="I28" s="92"/>
      <c r="J28" s="92"/>
      <c r="K28" s="92"/>
      <c r="L28" s="93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</row>
    <row r="29" spans="1:28" x14ac:dyDescent="0.15">
      <c r="A29" s="89"/>
      <c r="B29" s="90" t="s">
        <v>27</v>
      </c>
      <c r="C29" s="94">
        <f>COUNT(C18:C27)</f>
        <v>1</v>
      </c>
      <c r="D29" s="90"/>
      <c r="E29" s="90"/>
      <c r="F29" s="90"/>
      <c r="G29" s="90"/>
      <c r="H29" s="90"/>
      <c r="I29" s="92">
        <f>SUM(I18:I28)+1</f>
        <v>1.02</v>
      </c>
      <c r="J29" s="92">
        <f>1-SUM(J18:J28)</f>
        <v>0.98399999999999999</v>
      </c>
      <c r="K29" s="92">
        <f>1-SUM(K18:K28)</f>
        <v>0.98799999999999999</v>
      </c>
      <c r="L29" s="93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 spans="1:28" ht="14" thickBot="1" x14ac:dyDescent="0.2">
      <c r="A30" s="91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6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</row>
    <row r="31" spans="1:28" ht="15" thickTop="1" thickBot="1" x14ac:dyDescent="0.2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</row>
    <row r="32" spans="1:28" s="7" customFormat="1" ht="17" thickTop="1" x14ac:dyDescent="0.2">
      <c r="A32" s="207" t="s">
        <v>34</v>
      </c>
      <c r="B32" s="88"/>
      <c r="C32" s="328" t="str">
        <f>+Definición!C11</f>
        <v>[Nombre ]</v>
      </c>
      <c r="D32" s="328"/>
      <c r="E32" s="328"/>
      <c r="F32" s="328"/>
      <c r="G32" s="328"/>
      <c r="H32" s="328"/>
      <c r="I32" s="328"/>
      <c r="J32" s="328"/>
      <c r="K32" s="328"/>
      <c r="L32" s="97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spans="1:28" s="7" customFormat="1" ht="16" x14ac:dyDescent="0.2">
      <c r="A33" s="179"/>
      <c r="B33" s="180"/>
      <c r="C33" s="180"/>
      <c r="D33" s="180"/>
      <c r="E33" s="180"/>
      <c r="F33" s="180"/>
      <c r="G33" s="180"/>
      <c r="H33" s="180"/>
      <c r="I33" s="180"/>
      <c r="J33" s="180"/>
      <c r="K33" s="180"/>
      <c r="L33" s="181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  <row r="34" spans="1:28" x14ac:dyDescent="0.15">
      <c r="A34" s="89"/>
      <c r="B34" s="185" t="s">
        <v>29</v>
      </c>
      <c r="C34" s="186" t="s">
        <v>13</v>
      </c>
      <c r="D34" s="185"/>
      <c r="E34" s="332" t="s">
        <v>5</v>
      </c>
      <c r="F34" s="332"/>
      <c r="G34" s="332"/>
      <c r="H34" s="185"/>
      <c r="I34" s="332" t="s">
        <v>12</v>
      </c>
      <c r="J34" s="332"/>
      <c r="K34" s="332"/>
      <c r="L34" s="188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</row>
    <row r="35" spans="1:28" x14ac:dyDescent="0.15">
      <c r="A35" s="89"/>
      <c r="B35" s="90"/>
      <c r="C35" s="189"/>
      <c r="D35" s="187"/>
      <c r="E35" s="99" t="s">
        <v>4</v>
      </c>
      <c r="F35" s="100" t="s">
        <v>15</v>
      </c>
      <c r="G35" s="100" t="s">
        <v>16</v>
      </c>
      <c r="H35" s="185"/>
      <c r="I35" s="190" t="s">
        <v>4</v>
      </c>
      <c r="J35" s="191" t="s">
        <v>15</v>
      </c>
      <c r="K35" s="191" t="s">
        <v>16</v>
      </c>
      <c r="L35" s="188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</row>
    <row r="36" spans="1:28" x14ac:dyDescent="0.15">
      <c r="A36" s="89" t="s">
        <v>17</v>
      </c>
      <c r="B36" s="33" t="s">
        <v>33</v>
      </c>
      <c r="C36" s="102">
        <v>0</v>
      </c>
      <c r="D36" s="101"/>
      <c r="E36" s="34" t="s">
        <v>14</v>
      </c>
      <c r="F36" s="34" t="s">
        <v>14</v>
      </c>
      <c r="G36" s="36" t="s">
        <v>14</v>
      </c>
      <c r="H36" s="98"/>
      <c r="I36" s="92">
        <f>0+(VLOOKUP(E36,$I$5:$K$10,2,FALSE))*C36</f>
        <v>0</v>
      </c>
      <c r="J36" s="92">
        <f>VLOOKUP(F36,$I$5:$K$10,3,FALSE)*$C36</f>
        <v>0</v>
      </c>
      <c r="K36" s="202">
        <f>VLOOKUP(G36,$I$5:$K$10,3,FALSE)*$C36</f>
        <v>0</v>
      </c>
      <c r="L36" s="93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</row>
    <row r="37" spans="1:28" x14ac:dyDescent="0.15">
      <c r="A37" s="89" t="s">
        <v>18</v>
      </c>
      <c r="B37" s="33"/>
      <c r="C37" s="103"/>
      <c r="D37" s="101"/>
      <c r="E37" s="34" t="s">
        <v>14</v>
      </c>
      <c r="F37" s="34" t="s">
        <v>14</v>
      </c>
      <c r="G37" s="36" t="s">
        <v>14</v>
      </c>
      <c r="H37" s="98"/>
      <c r="I37" s="92">
        <f t="shared" ref="I37:I45" si="2">0+(VLOOKUP(E37,$I$5:$K$10,2,FALSE))*C37</f>
        <v>0</v>
      </c>
      <c r="J37" s="92">
        <f t="shared" ref="J37:J45" si="3">VLOOKUP(F37,$I$5:$K$10,3,FALSE)*$C37</f>
        <v>0</v>
      </c>
      <c r="K37" s="203">
        <f t="shared" ref="K37:K45" si="4">VLOOKUP(G37,$I$5:$K$10,3,FALSE)*$C37</f>
        <v>0</v>
      </c>
      <c r="L37" s="93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 spans="1:28" x14ac:dyDescent="0.15">
      <c r="A38" s="89" t="s">
        <v>19</v>
      </c>
      <c r="B38" s="33"/>
      <c r="C38" s="103"/>
      <c r="D38" s="101"/>
      <c r="E38" s="34" t="s">
        <v>14</v>
      </c>
      <c r="F38" s="34" t="s">
        <v>14</v>
      </c>
      <c r="G38" s="36" t="s">
        <v>14</v>
      </c>
      <c r="H38" s="98"/>
      <c r="I38" s="92">
        <f t="shared" si="2"/>
        <v>0</v>
      </c>
      <c r="J38" s="92">
        <f t="shared" si="3"/>
        <v>0</v>
      </c>
      <c r="K38" s="203">
        <f t="shared" si="4"/>
        <v>0</v>
      </c>
      <c r="L38" s="93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</row>
    <row r="39" spans="1:28" x14ac:dyDescent="0.15">
      <c r="A39" s="89" t="s">
        <v>20</v>
      </c>
      <c r="B39" s="33"/>
      <c r="C39" s="103"/>
      <c r="D39" s="101"/>
      <c r="E39" s="34" t="s">
        <v>14</v>
      </c>
      <c r="F39" s="34" t="s">
        <v>14</v>
      </c>
      <c r="G39" s="36" t="s">
        <v>14</v>
      </c>
      <c r="H39" s="98"/>
      <c r="I39" s="92">
        <f t="shared" si="2"/>
        <v>0</v>
      </c>
      <c r="J39" s="92">
        <f t="shared" si="3"/>
        <v>0</v>
      </c>
      <c r="K39" s="203">
        <f t="shared" si="4"/>
        <v>0</v>
      </c>
      <c r="L39" s="93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</row>
    <row r="40" spans="1:28" x14ac:dyDescent="0.15">
      <c r="A40" s="89" t="s">
        <v>21</v>
      </c>
      <c r="B40" s="33"/>
      <c r="C40" s="103"/>
      <c r="D40" s="101"/>
      <c r="E40" s="34" t="s">
        <v>14</v>
      </c>
      <c r="F40" s="34" t="s">
        <v>14</v>
      </c>
      <c r="G40" s="36" t="s">
        <v>14</v>
      </c>
      <c r="H40" s="98"/>
      <c r="I40" s="92">
        <f t="shared" si="2"/>
        <v>0</v>
      </c>
      <c r="J40" s="92">
        <f t="shared" si="3"/>
        <v>0</v>
      </c>
      <c r="K40" s="203">
        <f t="shared" si="4"/>
        <v>0</v>
      </c>
      <c r="L40" s="93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 spans="1:28" x14ac:dyDescent="0.15">
      <c r="A41" s="89" t="s">
        <v>22</v>
      </c>
      <c r="B41" s="33"/>
      <c r="C41" s="103"/>
      <c r="D41" s="101"/>
      <c r="E41" s="34" t="s">
        <v>14</v>
      </c>
      <c r="F41" s="34" t="s">
        <v>14</v>
      </c>
      <c r="G41" s="36" t="s">
        <v>14</v>
      </c>
      <c r="H41" s="98"/>
      <c r="I41" s="92">
        <f t="shared" si="2"/>
        <v>0</v>
      </c>
      <c r="J41" s="92">
        <f t="shared" si="3"/>
        <v>0</v>
      </c>
      <c r="K41" s="203">
        <f t="shared" si="4"/>
        <v>0</v>
      </c>
      <c r="L41" s="93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</row>
    <row r="42" spans="1:28" x14ac:dyDescent="0.15">
      <c r="A42" s="89" t="s">
        <v>23</v>
      </c>
      <c r="B42" s="33"/>
      <c r="C42" s="103"/>
      <c r="D42" s="101"/>
      <c r="E42" s="34" t="s">
        <v>14</v>
      </c>
      <c r="F42" s="34" t="s">
        <v>14</v>
      </c>
      <c r="G42" s="36" t="s">
        <v>14</v>
      </c>
      <c r="H42" s="98"/>
      <c r="I42" s="92">
        <f t="shared" si="2"/>
        <v>0</v>
      </c>
      <c r="J42" s="92">
        <f t="shared" si="3"/>
        <v>0</v>
      </c>
      <c r="K42" s="203">
        <f t="shared" si="4"/>
        <v>0</v>
      </c>
      <c r="L42" s="93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</row>
    <row r="43" spans="1:28" x14ac:dyDescent="0.15">
      <c r="A43" s="89" t="s">
        <v>24</v>
      </c>
      <c r="B43" s="33"/>
      <c r="C43" s="103"/>
      <c r="D43" s="101"/>
      <c r="E43" s="34" t="s">
        <v>14</v>
      </c>
      <c r="F43" s="34" t="s">
        <v>14</v>
      </c>
      <c r="G43" s="36" t="s">
        <v>14</v>
      </c>
      <c r="H43" s="98"/>
      <c r="I43" s="92">
        <f t="shared" si="2"/>
        <v>0</v>
      </c>
      <c r="J43" s="92">
        <f t="shared" si="3"/>
        <v>0</v>
      </c>
      <c r="K43" s="203">
        <f t="shared" si="4"/>
        <v>0</v>
      </c>
      <c r="L43" s="93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 spans="1:28" x14ac:dyDescent="0.15">
      <c r="A44" s="89" t="s">
        <v>25</v>
      </c>
      <c r="B44" s="33"/>
      <c r="C44" s="103"/>
      <c r="D44" s="101"/>
      <c r="E44" s="34" t="s">
        <v>14</v>
      </c>
      <c r="F44" s="34" t="s">
        <v>14</v>
      </c>
      <c r="G44" s="36" t="s">
        <v>14</v>
      </c>
      <c r="H44" s="98"/>
      <c r="I44" s="92">
        <f t="shared" si="2"/>
        <v>0</v>
      </c>
      <c r="J44" s="92">
        <f t="shared" si="3"/>
        <v>0</v>
      </c>
      <c r="K44" s="203">
        <f t="shared" si="4"/>
        <v>0</v>
      </c>
      <c r="L44" s="93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</row>
    <row r="45" spans="1:28" x14ac:dyDescent="0.15">
      <c r="A45" s="89" t="s">
        <v>26</v>
      </c>
      <c r="B45" s="33"/>
      <c r="C45" s="104"/>
      <c r="D45" s="101"/>
      <c r="E45" s="37" t="s">
        <v>14</v>
      </c>
      <c r="F45" s="38" t="s">
        <v>14</v>
      </c>
      <c r="G45" s="39" t="s">
        <v>14</v>
      </c>
      <c r="H45" s="98"/>
      <c r="I45" s="204">
        <f t="shared" si="2"/>
        <v>0</v>
      </c>
      <c r="J45" s="205">
        <f t="shared" si="3"/>
        <v>0</v>
      </c>
      <c r="K45" s="206">
        <f t="shared" si="4"/>
        <v>0</v>
      </c>
      <c r="L45" s="93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</row>
    <row r="46" spans="1:28" x14ac:dyDescent="0.15">
      <c r="A46" s="89"/>
      <c r="B46" s="90"/>
      <c r="C46" s="90"/>
      <c r="D46" s="90"/>
      <c r="E46" s="90"/>
      <c r="F46" s="90"/>
      <c r="G46" s="90"/>
      <c r="H46" s="90"/>
      <c r="I46" s="92"/>
      <c r="J46" s="92"/>
      <c r="K46" s="92"/>
      <c r="L46" s="93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 spans="1:28" x14ac:dyDescent="0.15">
      <c r="A47" s="89"/>
      <c r="B47" s="90" t="s">
        <v>27</v>
      </c>
      <c r="C47" s="94">
        <f>COUNT(C36:C45)</f>
        <v>1</v>
      </c>
      <c r="D47" s="90"/>
      <c r="E47" s="90"/>
      <c r="F47" s="90"/>
      <c r="G47" s="90"/>
      <c r="H47" s="90"/>
      <c r="I47" s="92">
        <f>SUM(I36:I46)+1</f>
        <v>1</v>
      </c>
      <c r="J47" s="92">
        <f>1-SUM(J36:J46)</f>
        <v>1</v>
      </c>
      <c r="K47" s="92">
        <f>1-SUM(K36:K46)</f>
        <v>1</v>
      </c>
      <c r="L47" s="93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</row>
    <row r="48" spans="1:28" ht="14" thickBot="1" x14ac:dyDescent="0.2">
      <c r="A48" s="91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6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</row>
    <row r="49" spans="1:28" ht="15" thickTop="1" thickBot="1" x14ac:dyDescent="0.2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 spans="1:28" s="7" customFormat="1" ht="17" thickTop="1" x14ac:dyDescent="0.2">
      <c r="A50" s="207" t="s">
        <v>35</v>
      </c>
      <c r="B50" s="88"/>
      <c r="C50" s="328" t="str">
        <f>+Definición!C18</f>
        <v>[Nombre ]</v>
      </c>
      <c r="D50" s="328"/>
      <c r="E50" s="328"/>
      <c r="F50" s="328"/>
      <c r="G50" s="328"/>
      <c r="H50" s="328"/>
      <c r="I50" s="328"/>
      <c r="J50" s="328"/>
      <c r="K50" s="328"/>
      <c r="L50" s="97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 spans="1:28" s="7" customFormat="1" ht="16" x14ac:dyDescent="0.2">
      <c r="A51" s="179"/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1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</row>
    <row r="52" spans="1:28" x14ac:dyDescent="0.15">
      <c r="A52" s="89"/>
      <c r="B52" s="185" t="s">
        <v>29</v>
      </c>
      <c r="C52" s="186" t="s">
        <v>13</v>
      </c>
      <c r="D52" s="185"/>
      <c r="E52" s="332" t="s">
        <v>5</v>
      </c>
      <c r="F52" s="332"/>
      <c r="G52" s="332"/>
      <c r="H52" s="185"/>
      <c r="I52" s="332" t="s">
        <v>12</v>
      </c>
      <c r="J52" s="332"/>
      <c r="K52" s="332"/>
      <c r="L52" s="188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 spans="1:28" x14ac:dyDescent="0.15">
      <c r="A53" s="89"/>
      <c r="B53" s="90"/>
      <c r="C53" s="189"/>
      <c r="D53" s="187"/>
      <c r="E53" s="99" t="s">
        <v>4</v>
      </c>
      <c r="F53" s="100" t="s">
        <v>15</v>
      </c>
      <c r="G53" s="100" t="s">
        <v>16</v>
      </c>
      <c r="H53" s="185"/>
      <c r="I53" s="190" t="s">
        <v>4</v>
      </c>
      <c r="J53" s="191" t="s">
        <v>15</v>
      </c>
      <c r="K53" s="191" t="s">
        <v>16</v>
      </c>
      <c r="L53" s="188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</row>
    <row r="54" spans="1:28" x14ac:dyDescent="0.15">
      <c r="A54" s="89" t="s">
        <v>17</v>
      </c>
      <c r="B54" s="33" t="s">
        <v>33</v>
      </c>
      <c r="C54" s="102">
        <v>0</v>
      </c>
      <c r="D54" s="101"/>
      <c r="E54" s="34" t="s">
        <v>14</v>
      </c>
      <c r="F54" s="34" t="s">
        <v>14</v>
      </c>
      <c r="G54" s="36" t="s">
        <v>14</v>
      </c>
      <c r="H54" s="98"/>
      <c r="I54" s="92">
        <f>0+(VLOOKUP(E54,$I$5:$K$10,2,FALSE))*C54</f>
        <v>0</v>
      </c>
      <c r="J54" s="92">
        <f>VLOOKUP(F54,$I$5:$K$10,3,FALSE)*$C54</f>
        <v>0</v>
      </c>
      <c r="K54" s="202">
        <f>VLOOKUP(G54,$I$5:$K$10,3,FALSE)*$C54</f>
        <v>0</v>
      </c>
      <c r="L54" s="93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</row>
    <row r="55" spans="1:28" x14ac:dyDescent="0.15">
      <c r="A55" s="89" t="s">
        <v>18</v>
      </c>
      <c r="B55" s="33"/>
      <c r="C55" s="103"/>
      <c r="D55" s="101"/>
      <c r="E55" s="34" t="s">
        <v>14</v>
      </c>
      <c r="F55" s="34" t="s">
        <v>14</v>
      </c>
      <c r="G55" s="36" t="s">
        <v>14</v>
      </c>
      <c r="H55" s="98"/>
      <c r="I55" s="92">
        <f t="shared" ref="I55:I63" si="5">0+(VLOOKUP(E55,$I$5:$K$10,2,FALSE))*C55</f>
        <v>0</v>
      </c>
      <c r="J55" s="92">
        <f t="shared" ref="J55:J63" si="6">VLOOKUP(F55,$I$5:$K$10,3,FALSE)*$C55</f>
        <v>0</v>
      </c>
      <c r="K55" s="203">
        <f t="shared" ref="K55:K63" si="7">VLOOKUP(G55,$I$5:$K$10,3,FALSE)*$C55</f>
        <v>0</v>
      </c>
      <c r="L55" s="93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 spans="1:28" x14ac:dyDescent="0.15">
      <c r="A56" s="89" t="s">
        <v>19</v>
      </c>
      <c r="B56" s="33"/>
      <c r="C56" s="103"/>
      <c r="D56" s="101"/>
      <c r="E56" s="34" t="s">
        <v>14</v>
      </c>
      <c r="F56" s="34" t="s">
        <v>14</v>
      </c>
      <c r="G56" s="36" t="s">
        <v>14</v>
      </c>
      <c r="H56" s="98"/>
      <c r="I56" s="92">
        <f t="shared" si="5"/>
        <v>0</v>
      </c>
      <c r="J56" s="92">
        <f t="shared" si="6"/>
        <v>0</v>
      </c>
      <c r="K56" s="203">
        <f t="shared" si="7"/>
        <v>0</v>
      </c>
      <c r="L56" s="93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</row>
    <row r="57" spans="1:28" x14ac:dyDescent="0.15">
      <c r="A57" s="89" t="s">
        <v>20</v>
      </c>
      <c r="B57" s="33"/>
      <c r="C57" s="103"/>
      <c r="D57" s="101"/>
      <c r="E57" s="34" t="s">
        <v>14</v>
      </c>
      <c r="F57" s="34" t="s">
        <v>14</v>
      </c>
      <c r="G57" s="36" t="s">
        <v>14</v>
      </c>
      <c r="H57" s="98"/>
      <c r="I57" s="92">
        <f t="shared" si="5"/>
        <v>0</v>
      </c>
      <c r="J57" s="92">
        <f t="shared" si="6"/>
        <v>0</v>
      </c>
      <c r="K57" s="203">
        <f t="shared" si="7"/>
        <v>0</v>
      </c>
      <c r="L57" s="93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</row>
    <row r="58" spans="1:28" x14ac:dyDescent="0.15">
      <c r="A58" s="89" t="s">
        <v>21</v>
      </c>
      <c r="B58" s="33"/>
      <c r="C58" s="103"/>
      <c r="D58" s="101"/>
      <c r="E58" s="34" t="s">
        <v>14</v>
      </c>
      <c r="F58" s="34" t="s">
        <v>14</v>
      </c>
      <c r="G58" s="36" t="s">
        <v>14</v>
      </c>
      <c r="H58" s="98"/>
      <c r="I58" s="92">
        <f t="shared" si="5"/>
        <v>0</v>
      </c>
      <c r="J58" s="92">
        <f t="shared" si="6"/>
        <v>0</v>
      </c>
      <c r="K58" s="203">
        <f t="shared" si="7"/>
        <v>0</v>
      </c>
      <c r="L58" s="93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 spans="1:28" x14ac:dyDescent="0.15">
      <c r="A59" s="89" t="s">
        <v>22</v>
      </c>
      <c r="B59" s="33"/>
      <c r="C59" s="103"/>
      <c r="D59" s="101"/>
      <c r="E59" s="34" t="s">
        <v>14</v>
      </c>
      <c r="F59" s="34" t="s">
        <v>14</v>
      </c>
      <c r="G59" s="36" t="s">
        <v>14</v>
      </c>
      <c r="H59" s="98"/>
      <c r="I59" s="92">
        <f t="shared" si="5"/>
        <v>0</v>
      </c>
      <c r="J59" s="92">
        <f t="shared" si="6"/>
        <v>0</v>
      </c>
      <c r="K59" s="203">
        <f t="shared" si="7"/>
        <v>0</v>
      </c>
      <c r="L59" s="93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</row>
    <row r="60" spans="1:28" x14ac:dyDescent="0.15">
      <c r="A60" s="89" t="s">
        <v>23</v>
      </c>
      <c r="B60" s="33"/>
      <c r="C60" s="103"/>
      <c r="D60" s="101"/>
      <c r="E60" s="34" t="s">
        <v>14</v>
      </c>
      <c r="F60" s="34" t="s">
        <v>14</v>
      </c>
      <c r="G60" s="36" t="s">
        <v>14</v>
      </c>
      <c r="H60" s="98"/>
      <c r="I60" s="92">
        <f t="shared" si="5"/>
        <v>0</v>
      </c>
      <c r="J60" s="92">
        <f t="shared" si="6"/>
        <v>0</v>
      </c>
      <c r="K60" s="203">
        <f t="shared" si="7"/>
        <v>0</v>
      </c>
      <c r="L60" s="93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</row>
    <row r="61" spans="1:28" x14ac:dyDescent="0.15">
      <c r="A61" s="89" t="s">
        <v>24</v>
      </c>
      <c r="B61" s="33"/>
      <c r="C61" s="103"/>
      <c r="D61" s="101"/>
      <c r="E61" s="34" t="s">
        <v>14</v>
      </c>
      <c r="F61" s="34" t="s">
        <v>14</v>
      </c>
      <c r="G61" s="36" t="s">
        <v>14</v>
      </c>
      <c r="H61" s="98"/>
      <c r="I61" s="92">
        <f t="shared" si="5"/>
        <v>0</v>
      </c>
      <c r="J61" s="92">
        <f t="shared" si="6"/>
        <v>0</v>
      </c>
      <c r="K61" s="203">
        <f t="shared" si="7"/>
        <v>0</v>
      </c>
      <c r="L61" s="93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 spans="1:28" x14ac:dyDescent="0.15">
      <c r="A62" s="89" t="s">
        <v>25</v>
      </c>
      <c r="B62" s="33"/>
      <c r="C62" s="103"/>
      <c r="D62" s="101"/>
      <c r="E62" s="34" t="s">
        <v>14</v>
      </c>
      <c r="F62" s="34" t="s">
        <v>14</v>
      </c>
      <c r="G62" s="36" t="s">
        <v>14</v>
      </c>
      <c r="H62" s="98"/>
      <c r="I62" s="92">
        <f t="shared" si="5"/>
        <v>0</v>
      </c>
      <c r="J62" s="92">
        <f t="shared" si="6"/>
        <v>0</v>
      </c>
      <c r="K62" s="203">
        <f t="shared" si="7"/>
        <v>0</v>
      </c>
      <c r="L62" s="93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</row>
    <row r="63" spans="1:28" x14ac:dyDescent="0.15">
      <c r="A63" s="89" t="s">
        <v>26</v>
      </c>
      <c r="B63" s="33"/>
      <c r="C63" s="104"/>
      <c r="D63" s="101"/>
      <c r="E63" s="37" t="s">
        <v>14</v>
      </c>
      <c r="F63" s="38" t="s">
        <v>14</v>
      </c>
      <c r="G63" s="39" t="s">
        <v>14</v>
      </c>
      <c r="H63" s="98"/>
      <c r="I63" s="204">
        <f t="shared" si="5"/>
        <v>0</v>
      </c>
      <c r="J63" s="205">
        <f t="shared" si="6"/>
        <v>0</v>
      </c>
      <c r="K63" s="206">
        <f t="shared" si="7"/>
        <v>0</v>
      </c>
      <c r="L63" s="93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</row>
    <row r="64" spans="1:28" x14ac:dyDescent="0.15">
      <c r="A64" s="89"/>
      <c r="B64" s="90"/>
      <c r="C64" s="90"/>
      <c r="D64" s="90"/>
      <c r="E64" s="90"/>
      <c r="F64" s="90"/>
      <c r="G64" s="90"/>
      <c r="H64" s="90"/>
      <c r="I64" s="92"/>
      <c r="J64" s="92"/>
      <c r="K64" s="92"/>
      <c r="L64" s="93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 spans="1:28" x14ac:dyDescent="0.15">
      <c r="A65" s="89"/>
      <c r="B65" s="90" t="s">
        <v>27</v>
      </c>
      <c r="C65" s="94">
        <f>COUNT(C54:C63)</f>
        <v>1</v>
      </c>
      <c r="D65" s="90"/>
      <c r="E65" s="90"/>
      <c r="F65" s="90"/>
      <c r="G65" s="90"/>
      <c r="H65" s="90"/>
      <c r="I65" s="92">
        <f>SUM(I54:I64)+1</f>
        <v>1</v>
      </c>
      <c r="J65" s="92">
        <f>1-SUM(J54:J64)</f>
        <v>1</v>
      </c>
      <c r="K65" s="92">
        <f>1-SUM(K54:K64)</f>
        <v>1</v>
      </c>
      <c r="L65" s="93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</row>
    <row r="66" spans="1:28" ht="14" thickBot="1" x14ac:dyDescent="0.2">
      <c r="A66" s="91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6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</row>
    <row r="67" spans="1:28" ht="15" thickTop="1" thickBot="1" x14ac:dyDescent="0.2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 spans="1:28" s="7" customFormat="1" ht="17" thickTop="1" x14ac:dyDescent="0.2">
      <c r="A68" s="207" t="s">
        <v>36</v>
      </c>
      <c r="B68" s="88"/>
      <c r="C68" s="328" t="str">
        <f>+Definición!C25</f>
        <v>[Nombre ]</v>
      </c>
      <c r="D68" s="328"/>
      <c r="E68" s="328"/>
      <c r="F68" s="328"/>
      <c r="G68" s="328"/>
      <c r="H68" s="328"/>
      <c r="I68" s="328"/>
      <c r="J68" s="328"/>
      <c r="K68" s="328"/>
      <c r="L68" s="97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</row>
    <row r="69" spans="1:28" ht="28.5" customHeight="1" x14ac:dyDescent="0.2">
      <c r="A69" s="179"/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1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</row>
    <row r="70" spans="1:28" x14ac:dyDescent="0.15">
      <c r="A70" s="89"/>
      <c r="B70" s="185" t="s">
        <v>29</v>
      </c>
      <c r="C70" s="186" t="s">
        <v>13</v>
      </c>
      <c r="D70" s="185"/>
      <c r="E70" s="332" t="s">
        <v>5</v>
      </c>
      <c r="F70" s="332"/>
      <c r="G70" s="332"/>
      <c r="H70" s="185"/>
      <c r="I70" s="332" t="s">
        <v>12</v>
      </c>
      <c r="J70" s="332"/>
      <c r="K70" s="332"/>
      <c r="L70" s="188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 spans="1:28" x14ac:dyDescent="0.15">
      <c r="A71" s="89"/>
      <c r="B71" s="90"/>
      <c r="C71" s="189"/>
      <c r="D71" s="187"/>
      <c r="E71" s="99" t="s">
        <v>4</v>
      </c>
      <c r="F71" s="100" t="s">
        <v>15</v>
      </c>
      <c r="G71" s="100" t="s">
        <v>16</v>
      </c>
      <c r="H71" s="185"/>
      <c r="I71" s="190" t="s">
        <v>4</v>
      </c>
      <c r="J71" s="191" t="s">
        <v>15</v>
      </c>
      <c r="K71" s="191" t="s">
        <v>16</v>
      </c>
      <c r="L71" s="188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</row>
    <row r="72" spans="1:28" x14ac:dyDescent="0.15">
      <c r="A72" s="89" t="s">
        <v>17</v>
      </c>
      <c r="B72" s="33" t="s">
        <v>33</v>
      </c>
      <c r="C72" s="102">
        <v>0</v>
      </c>
      <c r="D72" s="101"/>
      <c r="E72" s="34" t="s">
        <v>14</v>
      </c>
      <c r="F72" s="34" t="s">
        <v>14</v>
      </c>
      <c r="G72" s="35" t="s">
        <v>14</v>
      </c>
      <c r="H72" s="98"/>
      <c r="I72" s="92">
        <f>0+(VLOOKUP(E72,$I$5:$K$10,2,FALSE))*C72</f>
        <v>0</v>
      </c>
      <c r="J72" s="92">
        <f>VLOOKUP(F72,$I$5:$K$10,3,FALSE)*$C72</f>
        <v>0</v>
      </c>
      <c r="K72" s="202">
        <f>VLOOKUP(G72,$I$5:$K$10,3,FALSE)*$C72</f>
        <v>0</v>
      </c>
      <c r="L72" s="93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</row>
    <row r="73" spans="1:28" x14ac:dyDescent="0.15">
      <c r="A73" s="89" t="s">
        <v>18</v>
      </c>
      <c r="B73" s="33"/>
      <c r="C73" s="103"/>
      <c r="D73" s="101"/>
      <c r="E73" s="34" t="s">
        <v>14</v>
      </c>
      <c r="F73" s="34" t="s">
        <v>14</v>
      </c>
      <c r="G73" s="36" t="s">
        <v>14</v>
      </c>
      <c r="H73" s="98"/>
      <c r="I73" s="92">
        <f t="shared" ref="I73:I81" si="8">0+(VLOOKUP(E73,$I$5:$K$10,2,FALSE))*C73</f>
        <v>0</v>
      </c>
      <c r="J73" s="92">
        <f t="shared" ref="J73:J81" si="9">VLOOKUP(F73,$I$5:$K$10,3,FALSE)*$C73</f>
        <v>0</v>
      </c>
      <c r="K73" s="203">
        <f t="shared" ref="K73:K81" si="10">VLOOKUP(G73,$I$5:$K$10,3,FALSE)*$C73</f>
        <v>0</v>
      </c>
      <c r="L73" s="93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</row>
    <row r="74" spans="1:28" x14ac:dyDescent="0.15">
      <c r="A74" s="89" t="s">
        <v>19</v>
      </c>
      <c r="B74" s="33"/>
      <c r="C74" s="103"/>
      <c r="D74" s="101"/>
      <c r="E74" s="34" t="s">
        <v>14</v>
      </c>
      <c r="F74" s="34" t="s">
        <v>14</v>
      </c>
      <c r="G74" s="36" t="s">
        <v>14</v>
      </c>
      <c r="H74" s="98"/>
      <c r="I74" s="92">
        <f t="shared" si="8"/>
        <v>0</v>
      </c>
      <c r="J74" s="92">
        <f t="shared" si="9"/>
        <v>0</v>
      </c>
      <c r="K74" s="203">
        <f t="shared" si="10"/>
        <v>0</v>
      </c>
      <c r="L74" s="93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</row>
    <row r="75" spans="1:28" x14ac:dyDescent="0.15">
      <c r="A75" s="89" t="s">
        <v>20</v>
      </c>
      <c r="B75" s="33"/>
      <c r="C75" s="103"/>
      <c r="D75" s="101"/>
      <c r="E75" s="34" t="s">
        <v>14</v>
      </c>
      <c r="F75" s="34" t="s">
        <v>14</v>
      </c>
      <c r="G75" s="36" t="s">
        <v>14</v>
      </c>
      <c r="H75" s="98"/>
      <c r="I75" s="92">
        <f t="shared" si="8"/>
        <v>0</v>
      </c>
      <c r="J75" s="92">
        <f t="shared" si="9"/>
        <v>0</v>
      </c>
      <c r="K75" s="203">
        <f t="shared" si="10"/>
        <v>0</v>
      </c>
      <c r="L75" s="93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</row>
    <row r="76" spans="1:28" x14ac:dyDescent="0.15">
      <c r="A76" s="89" t="s">
        <v>21</v>
      </c>
      <c r="B76" s="33"/>
      <c r="C76" s="103"/>
      <c r="D76" s="101"/>
      <c r="E76" s="34" t="s">
        <v>14</v>
      </c>
      <c r="F76" s="34" t="s">
        <v>14</v>
      </c>
      <c r="G76" s="36" t="s">
        <v>14</v>
      </c>
      <c r="H76" s="98"/>
      <c r="I76" s="92">
        <f t="shared" si="8"/>
        <v>0</v>
      </c>
      <c r="J76" s="92">
        <f t="shared" si="9"/>
        <v>0</v>
      </c>
      <c r="K76" s="203">
        <f t="shared" si="10"/>
        <v>0</v>
      </c>
      <c r="L76" s="93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</row>
    <row r="77" spans="1:28" x14ac:dyDescent="0.15">
      <c r="A77" s="89" t="s">
        <v>22</v>
      </c>
      <c r="B77" s="33"/>
      <c r="C77" s="103"/>
      <c r="D77" s="101"/>
      <c r="E77" s="34" t="s">
        <v>14</v>
      </c>
      <c r="F77" s="34" t="s">
        <v>14</v>
      </c>
      <c r="G77" s="36" t="s">
        <v>14</v>
      </c>
      <c r="H77" s="98"/>
      <c r="I77" s="92">
        <f t="shared" si="8"/>
        <v>0</v>
      </c>
      <c r="J77" s="92">
        <f t="shared" si="9"/>
        <v>0</v>
      </c>
      <c r="K77" s="203">
        <f t="shared" si="10"/>
        <v>0</v>
      </c>
      <c r="L77" s="93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</row>
    <row r="78" spans="1:28" x14ac:dyDescent="0.15">
      <c r="A78" s="89" t="s">
        <v>23</v>
      </c>
      <c r="B78" s="33"/>
      <c r="C78" s="103"/>
      <c r="D78" s="101"/>
      <c r="E78" s="34" t="s">
        <v>14</v>
      </c>
      <c r="F78" s="34" t="s">
        <v>14</v>
      </c>
      <c r="G78" s="36" t="s">
        <v>14</v>
      </c>
      <c r="H78" s="98"/>
      <c r="I78" s="92">
        <f t="shared" si="8"/>
        <v>0</v>
      </c>
      <c r="J78" s="92">
        <f t="shared" si="9"/>
        <v>0</v>
      </c>
      <c r="K78" s="203">
        <f t="shared" si="10"/>
        <v>0</v>
      </c>
      <c r="L78" s="93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</row>
    <row r="79" spans="1:28" x14ac:dyDescent="0.15">
      <c r="A79" s="89" t="s">
        <v>24</v>
      </c>
      <c r="B79" s="33"/>
      <c r="C79" s="103"/>
      <c r="D79" s="101"/>
      <c r="E79" s="34" t="s">
        <v>14</v>
      </c>
      <c r="F79" s="34" t="s">
        <v>14</v>
      </c>
      <c r="G79" s="36" t="s">
        <v>14</v>
      </c>
      <c r="H79" s="98"/>
      <c r="I79" s="92">
        <f t="shared" si="8"/>
        <v>0</v>
      </c>
      <c r="J79" s="92">
        <f t="shared" si="9"/>
        <v>0</v>
      </c>
      <c r="K79" s="203">
        <f t="shared" si="10"/>
        <v>0</v>
      </c>
      <c r="L79" s="93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</row>
    <row r="80" spans="1:28" x14ac:dyDescent="0.15">
      <c r="A80" s="89" t="s">
        <v>25</v>
      </c>
      <c r="B80" s="33"/>
      <c r="C80" s="103"/>
      <c r="D80" s="101"/>
      <c r="E80" s="34" t="s">
        <v>14</v>
      </c>
      <c r="F80" s="34" t="s">
        <v>14</v>
      </c>
      <c r="G80" s="36" t="s">
        <v>14</v>
      </c>
      <c r="H80" s="98"/>
      <c r="I80" s="92">
        <f t="shared" si="8"/>
        <v>0</v>
      </c>
      <c r="J80" s="92">
        <f t="shared" si="9"/>
        <v>0</v>
      </c>
      <c r="K80" s="203">
        <f t="shared" si="10"/>
        <v>0</v>
      </c>
      <c r="L80" s="93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</row>
    <row r="81" spans="1:28" x14ac:dyDescent="0.15">
      <c r="A81" s="89" t="s">
        <v>26</v>
      </c>
      <c r="B81" s="33"/>
      <c r="C81" s="104"/>
      <c r="D81" s="101"/>
      <c r="E81" s="37" t="s">
        <v>14</v>
      </c>
      <c r="F81" s="38" t="s">
        <v>14</v>
      </c>
      <c r="G81" s="39" t="s">
        <v>14</v>
      </c>
      <c r="H81" s="98"/>
      <c r="I81" s="204">
        <f t="shared" si="8"/>
        <v>0</v>
      </c>
      <c r="J81" s="205">
        <f t="shared" si="9"/>
        <v>0</v>
      </c>
      <c r="K81" s="206">
        <f t="shared" si="10"/>
        <v>0</v>
      </c>
      <c r="L81" s="93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</row>
    <row r="82" spans="1:28" x14ac:dyDescent="0.15">
      <c r="A82" s="89"/>
      <c r="B82" s="90"/>
      <c r="C82" s="90"/>
      <c r="D82" s="90"/>
      <c r="E82" s="90"/>
      <c r="F82" s="90"/>
      <c r="G82" s="90"/>
      <c r="H82" s="90"/>
      <c r="I82" s="92"/>
      <c r="J82" s="92"/>
      <c r="K82" s="92"/>
      <c r="L82" s="93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</row>
    <row r="83" spans="1:28" x14ac:dyDescent="0.15">
      <c r="A83" s="89"/>
      <c r="B83" s="90" t="s">
        <v>27</v>
      </c>
      <c r="C83" s="94">
        <f>COUNT(C72:C81)</f>
        <v>1</v>
      </c>
      <c r="D83" s="90"/>
      <c r="E83" s="90"/>
      <c r="F83" s="90"/>
      <c r="G83" s="90"/>
      <c r="H83" s="90"/>
      <c r="I83" s="92">
        <f>SUM(I72:I82)+1</f>
        <v>1</v>
      </c>
      <c r="J83" s="92">
        <f>1-SUM(J72:J82)</f>
        <v>1</v>
      </c>
      <c r="K83" s="92">
        <f>1-SUM(K72:K82)</f>
        <v>1</v>
      </c>
      <c r="L83" s="93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</row>
    <row r="84" spans="1:28" ht="14" thickBot="1" x14ac:dyDescent="0.2">
      <c r="A84" s="91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6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</row>
    <row r="85" spans="1:28" ht="14" thickTop="1" x14ac:dyDescent="0.1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</row>
    <row r="86" spans="1:28" x14ac:dyDescent="0.1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</row>
    <row r="87" spans="1:28" x14ac:dyDescent="0.1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</row>
    <row r="88" spans="1:28" x14ac:dyDescent="0.1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</row>
    <row r="89" spans="1:28" x14ac:dyDescent="0.1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</row>
    <row r="90" spans="1:28" x14ac:dyDescent="0.1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</row>
    <row r="91" spans="1:28" x14ac:dyDescent="0.1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</row>
    <row r="92" spans="1:28" x14ac:dyDescent="0.1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</row>
    <row r="93" spans="1:28" x14ac:dyDescent="0.1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</row>
    <row r="94" spans="1:28" x14ac:dyDescent="0.1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</row>
    <row r="95" spans="1:28" x14ac:dyDescent="0.1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</row>
    <row r="96" spans="1:28" x14ac:dyDescent="0.1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</row>
    <row r="97" spans="1:28" x14ac:dyDescent="0.1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</row>
    <row r="98" spans="1:28" x14ac:dyDescent="0.1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</row>
    <row r="99" spans="1:28" x14ac:dyDescent="0.1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</row>
    <row r="100" spans="1:28" x14ac:dyDescent="0.15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</row>
    <row r="101" spans="1:28" x14ac:dyDescent="0.15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</row>
    <row r="102" spans="1:28" x14ac:dyDescent="0.15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</row>
    <row r="103" spans="1:28" x14ac:dyDescent="0.15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</row>
    <row r="104" spans="1:28" x14ac:dyDescent="0.15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</row>
    <row r="105" spans="1:28" x14ac:dyDescent="0.1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</row>
    <row r="106" spans="1:28" x14ac:dyDescent="0.15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</row>
    <row r="107" spans="1:28" x14ac:dyDescent="0.15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</row>
    <row r="108" spans="1:28" x14ac:dyDescent="0.1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</row>
    <row r="109" spans="1:28" x14ac:dyDescent="0.15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</row>
    <row r="110" spans="1:28" x14ac:dyDescent="0.15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</row>
    <row r="111" spans="1:28" x14ac:dyDescent="0.15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</row>
    <row r="112" spans="1:28" x14ac:dyDescent="0.15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</row>
    <row r="113" spans="1:28" x14ac:dyDescent="0.15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 spans="1:28" x14ac:dyDescent="0.15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 spans="1:28" x14ac:dyDescent="0.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 spans="1:28" x14ac:dyDescent="0.15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 spans="1:28" x14ac:dyDescent="0.15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 spans="1:28" x14ac:dyDescent="0.15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 spans="1:28" x14ac:dyDescent="0.15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 spans="1:28" x14ac:dyDescent="0.15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spans="1:28" x14ac:dyDescent="0.15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 spans="1:28" x14ac:dyDescent="0.15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 spans="1:28" x14ac:dyDescent="0.15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 spans="1:28" x14ac:dyDescent="0.15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 spans="1:28" x14ac:dyDescent="0.1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x14ac:dyDescent="0.15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x14ac:dyDescent="0.15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x14ac:dyDescent="0.1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x14ac:dyDescent="0.15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x14ac:dyDescent="0.1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x14ac:dyDescent="0.1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x14ac:dyDescent="0.1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x14ac:dyDescent="0.1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x14ac:dyDescent="0.1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x14ac:dyDescent="0.1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 x14ac:dyDescent="0.1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x14ac:dyDescent="0.1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x14ac:dyDescent="0.1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x14ac:dyDescent="0.1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x14ac:dyDescent="0.1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 x14ac:dyDescent="0.1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x14ac:dyDescent="0.1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x14ac:dyDescent="0.1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x14ac:dyDescent="0.1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x14ac:dyDescent="0.1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x14ac:dyDescent="0.1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x14ac:dyDescent="0.1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x14ac:dyDescent="0.1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x14ac:dyDescent="0.1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x14ac:dyDescent="0.1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</sheetData>
  <sheetProtection sheet="1" objects="1" scenarios="1" autoFilter="0"/>
  <mergeCells count="14">
    <mergeCell ref="E52:G52"/>
    <mergeCell ref="I52:K52"/>
    <mergeCell ref="C68:K68"/>
    <mergeCell ref="E70:G70"/>
    <mergeCell ref="I70:K70"/>
    <mergeCell ref="C50:K50"/>
    <mergeCell ref="C14:K14"/>
    <mergeCell ref="B2:B9"/>
    <mergeCell ref="C12:L12"/>
    <mergeCell ref="I16:K16"/>
    <mergeCell ref="E16:G16"/>
    <mergeCell ref="E34:G34"/>
    <mergeCell ref="I34:K34"/>
    <mergeCell ref="C32:K32"/>
  </mergeCells>
  <phoneticPr fontId="4" type="noConversion"/>
  <dataValidations count="2">
    <dataValidation type="list" allowBlank="1" showInputMessage="1" showErrorMessage="1" sqref="E54:G63 E36:G45 E18:G27 E72:G81" xr:uid="{00000000-0002-0000-0400-000000000000}">
      <formula1>Impacto</formula1>
    </dataValidation>
    <dataValidation type="list" allowBlank="1" showInputMessage="1" showErrorMessage="1" sqref="C54:C63 C18:C27 C36:C45 C72:C81" xr:uid="{00000000-0002-0000-0400-000001000000}">
      <formula1>$G$5:$G$10</formula1>
    </dataValidation>
  </dataValidations>
  <printOptions horizontalCentered="1" verticalCentered="1"/>
  <pageMargins left="0.11811023622047245" right="0.11811023622047245" top="0.39370078740157483" bottom="0.47244094488188981" header="0.19685039370078741" footer="0.19685039370078741"/>
  <pageSetup paperSize="9" scale="67" orientation="portrait"/>
  <headerFooter>
    <oddHeader>&amp;L&amp;F&amp;R&amp;A</oddHeader>
    <oddFooter>&amp;CPágina &amp;P de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tabColor theme="1"/>
    <outlinePr summaryBelow="0"/>
    <pageSetUpPr fitToPage="1"/>
  </sheetPr>
  <dimension ref="A1:AJ155"/>
  <sheetViews>
    <sheetView tabSelected="1" zoomScale="98" zoomScaleNormal="98" workbookViewId="0">
      <selection activeCell="P91" sqref="P91"/>
    </sheetView>
  </sheetViews>
  <sheetFormatPr baseColWidth="10" defaultRowHeight="13" outlineLevelRow="1" x14ac:dyDescent="0.15"/>
  <cols>
    <col min="1" max="1" width="5.1640625" customWidth="1"/>
    <col min="2" max="2" width="12.33203125" bestFit="1" customWidth="1"/>
    <col min="3" max="3" width="20.5" bestFit="1" customWidth="1"/>
    <col min="4" max="4" width="5.5" customWidth="1"/>
    <col min="5" max="5" width="16.1640625" bestFit="1" customWidth="1"/>
    <col min="6" max="7" width="4.6640625" customWidth="1"/>
    <col min="8" max="8" width="23.6640625" bestFit="1" customWidth="1"/>
    <col min="9" max="9" width="4.6640625" customWidth="1"/>
    <col min="10" max="10" width="4.5" customWidth="1"/>
    <col min="11" max="11" width="29.83203125" bestFit="1" customWidth="1"/>
    <col min="12" max="13" width="13.83203125" bestFit="1" customWidth="1"/>
    <col min="14" max="14" width="15.1640625" bestFit="1" customWidth="1"/>
    <col min="15" max="15" width="8.33203125" customWidth="1"/>
    <col min="16" max="16" width="23.33203125" bestFit="1" customWidth="1"/>
    <col min="17" max="17" width="6.6640625" bestFit="1" customWidth="1"/>
    <col min="18" max="18" width="2.1640625" customWidth="1"/>
    <col min="19" max="19" width="3.5" customWidth="1"/>
    <col min="20" max="20" width="5.5" customWidth="1"/>
    <col min="21" max="37" width="9.5" customWidth="1"/>
  </cols>
  <sheetData>
    <row r="1" spans="1:36" ht="14" thickBot="1" x14ac:dyDescent="0.2">
      <c r="A1" s="337"/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  <c r="T1" s="337"/>
      <c r="U1" s="337"/>
      <c r="V1" s="337"/>
      <c r="W1" s="337"/>
      <c r="X1" s="337"/>
      <c r="Y1" s="337"/>
      <c r="Z1" s="337"/>
      <c r="AA1" s="337"/>
      <c r="AB1" s="337"/>
      <c r="AC1" s="337"/>
      <c r="AD1" s="337"/>
      <c r="AE1" s="337"/>
      <c r="AF1" s="337"/>
      <c r="AG1" s="337"/>
      <c r="AH1" s="337"/>
      <c r="AI1" s="337"/>
      <c r="AJ1" s="337"/>
    </row>
    <row r="2" spans="1:36" ht="12.75" customHeight="1" x14ac:dyDescent="0.15">
      <c r="A2" s="337"/>
      <c r="B2" s="345" t="s">
        <v>73</v>
      </c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7"/>
      <c r="S2" s="337"/>
      <c r="T2" s="337"/>
      <c r="U2" s="337"/>
      <c r="V2" s="337"/>
      <c r="W2" s="337"/>
      <c r="X2" s="337"/>
      <c r="Y2" s="337"/>
      <c r="Z2" s="337"/>
      <c r="AA2" s="337"/>
      <c r="AB2" s="337"/>
      <c r="AC2" s="337"/>
      <c r="AD2" s="337"/>
      <c r="AE2" s="337"/>
      <c r="AF2" s="337"/>
      <c r="AG2" s="337"/>
      <c r="AH2" s="337"/>
      <c r="AI2" s="337"/>
      <c r="AJ2" s="337"/>
    </row>
    <row r="3" spans="1:36" ht="12.75" customHeight="1" x14ac:dyDescent="0.15">
      <c r="A3" s="337"/>
      <c r="B3" s="348"/>
      <c r="C3" s="344"/>
      <c r="D3" s="344"/>
      <c r="E3" s="344"/>
      <c r="F3" s="344"/>
      <c r="G3" s="344"/>
      <c r="H3" s="344"/>
      <c r="I3" s="344"/>
      <c r="J3" s="344"/>
      <c r="K3" s="344"/>
      <c r="L3" s="344"/>
      <c r="M3" s="344"/>
      <c r="N3" s="344"/>
      <c r="O3" s="344"/>
      <c r="P3" s="344"/>
      <c r="Q3" s="344"/>
      <c r="R3" s="349"/>
      <c r="S3" s="337"/>
      <c r="T3" s="337"/>
      <c r="U3" s="337"/>
      <c r="V3" s="337"/>
      <c r="W3" s="337"/>
      <c r="X3" s="337"/>
      <c r="Y3" s="337"/>
      <c r="Z3" s="337"/>
      <c r="AA3" s="337"/>
      <c r="AB3" s="337"/>
      <c r="AC3" s="337"/>
      <c r="AD3" s="337"/>
      <c r="AE3" s="337"/>
      <c r="AF3" s="337"/>
      <c r="AG3" s="337"/>
      <c r="AH3" s="337"/>
      <c r="AI3" s="337"/>
      <c r="AJ3" s="337"/>
    </row>
    <row r="4" spans="1:36" ht="12.75" customHeight="1" x14ac:dyDescent="0.15">
      <c r="A4" s="337"/>
      <c r="B4" s="348"/>
      <c r="C4" s="344"/>
      <c r="D4" s="344"/>
      <c r="E4" s="344"/>
      <c r="F4" s="344"/>
      <c r="G4" s="344"/>
      <c r="H4" s="344"/>
      <c r="I4" s="344"/>
      <c r="J4" s="344"/>
      <c r="K4" s="344"/>
      <c r="L4" s="344"/>
      <c r="M4" s="344"/>
      <c r="N4" s="344"/>
      <c r="O4" s="344"/>
      <c r="P4" s="344"/>
      <c r="Q4" s="344"/>
      <c r="R4" s="349"/>
      <c r="S4" s="337"/>
      <c r="T4" s="337"/>
      <c r="U4" s="337"/>
      <c r="V4" s="337"/>
      <c r="W4" s="337"/>
      <c r="X4" s="337"/>
      <c r="Y4" s="337"/>
      <c r="Z4" s="337"/>
      <c r="AA4" s="337"/>
      <c r="AB4" s="337"/>
      <c r="AC4" s="337"/>
      <c r="AD4" s="337"/>
      <c r="AE4" s="337"/>
      <c r="AF4" s="337"/>
      <c r="AG4" s="337"/>
      <c r="AH4" s="337"/>
      <c r="AI4" s="337"/>
      <c r="AJ4" s="337"/>
    </row>
    <row r="5" spans="1:36" ht="14" thickBot="1" x14ac:dyDescent="0.2">
      <c r="A5" s="337"/>
      <c r="B5" s="350"/>
      <c r="C5" s="351"/>
      <c r="D5" s="351"/>
      <c r="E5" s="351"/>
      <c r="F5" s="351"/>
      <c r="G5" s="351"/>
      <c r="H5" s="351"/>
      <c r="I5" s="351"/>
      <c r="J5" s="351"/>
      <c r="K5" s="351"/>
      <c r="L5" s="351"/>
      <c r="M5" s="351"/>
      <c r="N5" s="351"/>
      <c r="O5" s="351"/>
      <c r="P5" s="351"/>
      <c r="Q5" s="351"/>
      <c r="R5" s="352"/>
      <c r="S5" s="337"/>
      <c r="T5" s="337"/>
      <c r="U5" s="337"/>
      <c r="V5" s="337"/>
      <c r="W5" s="337"/>
      <c r="X5" s="337"/>
      <c r="Y5" s="337"/>
      <c r="Z5" s="337"/>
      <c r="AA5" s="337"/>
      <c r="AB5" s="337"/>
      <c r="AC5" s="337"/>
      <c r="AD5" s="337"/>
      <c r="AE5" s="337"/>
      <c r="AF5" s="337"/>
      <c r="AG5" s="337"/>
      <c r="AH5" s="337"/>
      <c r="AI5" s="337"/>
      <c r="AJ5" s="337"/>
    </row>
    <row r="6" spans="1:36" ht="14" thickBot="1" x14ac:dyDescent="0.2">
      <c r="A6" s="337"/>
      <c r="B6" s="337"/>
      <c r="C6" s="337"/>
      <c r="D6" s="337"/>
      <c r="E6" s="338"/>
      <c r="F6" s="338"/>
      <c r="G6" s="338"/>
      <c r="H6" s="338"/>
      <c r="I6" s="338"/>
      <c r="J6" s="338"/>
      <c r="K6" s="338"/>
      <c r="L6" s="338"/>
      <c r="M6" s="338"/>
      <c r="N6" s="338"/>
      <c r="O6" s="338"/>
      <c r="P6" s="338"/>
      <c r="Q6" s="338"/>
      <c r="R6" s="337"/>
      <c r="S6" s="337"/>
      <c r="T6" s="337"/>
      <c r="U6" s="337"/>
      <c r="V6" s="337"/>
      <c r="W6" s="337"/>
      <c r="X6" s="337"/>
      <c r="Y6" s="337"/>
      <c r="Z6" s="337"/>
      <c r="AA6" s="337"/>
      <c r="AB6" s="337"/>
      <c r="AC6" s="337"/>
      <c r="AD6" s="337"/>
      <c r="AE6" s="337"/>
      <c r="AF6" s="337"/>
      <c r="AG6" s="337"/>
      <c r="AH6" s="337"/>
      <c r="AI6" s="337"/>
      <c r="AJ6" s="337"/>
    </row>
    <row r="7" spans="1:36" s="8" customFormat="1" ht="38.25" customHeight="1" thickBot="1" x14ac:dyDescent="0.2">
      <c r="A7" s="339"/>
      <c r="B7" s="427"/>
      <c r="C7" s="428" t="s">
        <v>32</v>
      </c>
      <c r="D7" s="429" t="str">
        <f>+Definición!C2</f>
        <v>TRIPMATE</v>
      </c>
      <c r="E7" s="429"/>
      <c r="F7" s="429"/>
      <c r="G7" s="429"/>
      <c r="H7" s="429"/>
      <c r="I7" s="429"/>
      <c r="J7" s="429"/>
      <c r="K7" s="429"/>
      <c r="L7" s="429"/>
      <c r="M7" s="429"/>
      <c r="N7" s="429"/>
      <c r="O7" s="429"/>
      <c r="P7" s="429"/>
      <c r="Q7" s="429"/>
      <c r="R7" s="430"/>
      <c r="S7" s="339"/>
      <c r="T7" s="339"/>
      <c r="U7" s="339"/>
      <c r="V7" s="339"/>
      <c r="W7" s="339"/>
      <c r="X7" s="339"/>
      <c r="Y7" s="339"/>
      <c r="Z7" s="339"/>
      <c r="AA7" s="339"/>
      <c r="AB7" s="339"/>
      <c r="AC7" s="339"/>
      <c r="AD7" s="339"/>
      <c r="AE7" s="339"/>
      <c r="AF7" s="339"/>
      <c r="AG7" s="339"/>
      <c r="AH7" s="339"/>
      <c r="AI7" s="339"/>
      <c r="AJ7" s="339"/>
    </row>
    <row r="8" spans="1:36" ht="14" customHeight="1" thickBot="1" x14ac:dyDescent="0.2">
      <c r="A8" s="340"/>
      <c r="B8" s="340"/>
      <c r="C8" s="340"/>
      <c r="D8" s="340"/>
      <c r="E8" s="340"/>
      <c r="F8" s="340"/>
      <c r="G8" s="340"/>
      <c r="H8" s="340"/>
      <c r="I8" s="341"/>
      <c r="J8" s="341"/>
      <c r="K8" s="341"/>
      <c r="L8" s="341"/>
      <c r="M8" s="341"/>
      <c r="N8" s="341"/>
      <c r="O8" s="341"/>
      <c r="P8" s="341"/>
      <c r="Q8" s="341"/>
      <c r="R8" s="341"/>
      <c r="S8" s="341"/>
      <c r="T8" s="341"/>
      <c r="U8" s="340"/>
      <c r="V8" s="341"/>
      <c r="W8" s="341"/>
      <c r="X8" s="341"/>
      <c r="Y8" s="341"/>
      <c r="Z8" s="341"/>
      <c r="AA8" s="341"/>
      <c r="AB8" s="341"/>
      <c r="AC8" s="341"/>
      <c r="AD8" s="341"/>
      <c r="AE8" s="341"/>
      <c r="AF8" s="341"/>
      <c r="AG8" s="341"/>
      <c r="AH8" s="341"/>
      <c r="AI8" s="341"/>
      <c r="AJ8" s="341"/>
    </row>
    <row r="9" spans="1:36" ht="16" customHeight="1" x14ac:dyDescent="0.2">
      <c r="A9" s="340"/>
      <c r="B9" s="353"/>
      <c r="C9" s="354" t="s">
        <v>60</v>
      </c>
      <c r="D9" s="355"/>
      <c r="E9" s="355"/>
      <c r="F9" s="355"/>
      <c r="G9" s="355"/>
      <c r="H9" s="355"/>
      <c r="I9" s="355"/>
      <c r="J9" s="355"/>
      <c r="K9" s="355"/>
      <c r="L9" s="355"/>
      <c r="M9" s="355"/>
      <c r="N9" s="355"/>
      <c r="O9" s="355"/>
      <c r="P9" s="355"/>
      <c r="Q9" s="355"/>
      <c r="R9" s="356"/>
      <c r="S9" s="341"/>
      <c r="T9" s="341"/>
      <c r="U9" s="341"/>
      <c r="V9" s="341"/>
      <c r="W9" s="341"/>
      <c r="X9" s="341"/>
      <c r="Y9" s="341"/>
      <c r="Z9" s="341"/>
      <c r="AA9" s="341"/>
      <c r="AB9" s="341"/>
      <c r="AC9" s="341"/>
      <c r="AD9" s="341"/>
      <c r="AE9" s="341"/>
      <c r="AF9" s="341"/>
      <c r="AG9" s="341"/>
      <c r="AH9" s="341"/>
      <c r="AI9" s="341"/>
      <c r="AJ9" s="341"/>
    </row>
    <row r="10" spans="1:36" ht="14" customHeight="1" x14ac:dyDescent="0.2">
      <c r="A10" s="340"/>
      <c r="B10" s="357"/>
      <c r="C10" s="358"/>
      <c r="D10" s="358"/>
      <c r="E10" s="358"/>
      <c r="F10" s="359"/>
      <c r="G10" s="360"/>
      <c r="H10" s="361"/>
      <c r="I10" s="362"/>
      <c r="J10" s="358"/>
      <c r="K10" s="358"/>
      <c r="L10" s="358"/>
      <c r="M10" s="358"/>
      <c r="N10" s="358"/>
      <c r="O10" s="358"/>
      <c r="P10" s="358"/>
      <c r="Q10" s="358"/>
      <c r="R10" s="363"/>
      <c r="S10" s="341"/>
      <c r="T10" s="341"/>
      <c r="U10" s="341"/>
      <c r="V10" s="341"/>
      <c r="W10" s="341"/>
      <c r="X10" s="341"/>
      <c r="Y10" s="341"/>
      <c r="Z10" s="341"/>
      <c r="AA10" s="341"/>
      <c r="AB10" s="341"/>
      <c r="AC10" s="341"/>
      <c r="AD10" s="341"/>
      <c r="AE10" s="341"/>
      <c r="AF10" s="341"/>
      <c r="AG10" s="341"/>
      <c r="AH10" s="341"/>
      <c r="AI10" s="341"/>
      <c r="AJ10" s="341"/>
    </row>
    <row r="11" spans="1:36" ht="18" x14ac:dyDescent="0.2">
      <c r="A11" s="340"/>
      <c r="B11" s="357"/>
      <c r="C11" s="358"/>
      <c r="D11" s="358"/>
      <c r="E11" s="364" t="s">
        <v>30</v>
      </c>
      <c r="F11" s="365"/>
      <c r="G11" s="366"/>
      <c r="H11" s="364" t="s">
        <v>78</v>
      </c>
      <c r="I11" s="359"/>
      <c r="J11" s="358"/>
      <c r="K11" s="364" t="s">
        <v>61</v>
      </c>
      <c r="L11" s="364" t="s">
        <v>62</v>
      </c>
      <c r="M11" s="364" t="s">
        <v>63</v>
      </c>
      <c r="N11" s="364" t="s">
        <v>64</v>
      </c>
      <c r="O11" s="364"/>
      <c r="P11" s="367"/>
      <c r="Q11" s="364"/>
      <c r="R11" s="363"/>
      <c r="S11" s="341"/>
      <c r="T11" s="341"/>
      <c r="U11" s="341"/>
      <c r="V11" s="341"/>
      <c r="W11" s="341"/>
      <c r="X11" s="341"/>
      <c r="Y11" s="341"/>
      <c r="Z11" s="341"/>
      <c r="AA11" s="341"/>
      <c r="AB11" s="341"/>
      <c r="AC11" s="341"/>
      <c r="AD11" s="341"/>
      <c r="AE11" s="341"/>
      <c r="AF11" s="341"/>
      <c r="AG11" s="341"/>
      <c r="AH11" s="341"/>
      <c r="AI11" s="341"/>
      <c r="AJ11" s="341"/>
    </row>
    <row r="12" spans="1:36" ht="18" outlineLevel="1" x14ac:dyDescent="0.2">
      <c r="A12" s="340"/>
      <c r="B12" s="357"/>
      <c r="C12" s="368"/>
      <c r="D12" s="358"/>
      <c r="E12" s="369"/>
      <c r="F12" s="369"/>
      <c r="G12" s="370"/>
      <c r="H12" s="369"/>
      <c r="I12" s="359"/>
      <c r="J12" s="358"/>
      <c r="K12" s="369"/>
      <c r="L12" s="369"/>
      <c r="M12" s="369"/>
      <c r="N12" s="369"/>
      <c r="O12" s="369"/>
      <c r="P12" s="371" t="s">
        <v>74</v>
      </c>
      <c r="Q12" s="369"/>
      <c r="R12" s="363"/>
      <c r="S12" s="341"/>
      <c r="T12" s="341"/>
      <c r="U12" s="341"/>
      <c r="V12" s="341"/>
      <c r="W12" s="341"/>
      <c r="X12" s="341"/>
      <c r="Y12" s="341"/>
      <c r="Z12" s="341"/>
      <c r="AA12" s="341"/>
      <c r="AB12" s="341"/>
      <c r="AC12" s="341"/>
      <c r="AD12" s="341"/>
      <c r="AE12" s="341"/>
      <c r="AF12" s="341"/>
      <c r="AG12" s="341"/>
      <c r="AH12" s="341"/>
      <c r="AI12" s="341"/>
      <c r="AJ12" s="341"/>
    </row>
    <row r="13" spans="1:36" ht="18" outlineLevel="1" x14ac:dyDescent="0.2">
      <c r="A13" s="340"/>
      <c r="B13" s="357"/>
      <c r="C13" s="372" t="s">
        <v>4</v>
      </c>
      <c r="D13" s="373"/>
      <c r="E13" s="374">
        <f>+E31+E48+E65+E82</f>
        <v>2288000</v>
      </c>
      <c r="F13" s="375"/>
      <c r="G13" s="376"/>
      <c r="H13" s="377">
        <f>+H31+H48+H65+H82</f>
        <v>2333760</v>
      </c>
      <c r="I13" s="378"/>
      <c r="J13" s="358"/>
      <c r="K13" s="379">
        <f>+K31+K48+K65+K82</f>
        <v>1593000</v>
      </c>
      <c r="L13" s="380">
        <f>+L31+L48+L65+L82</f>
        <v>227000</v>
      </c>
      <c r="M13" s="380">
        <f>+M31+M48+M65+M82</f>
        <v>311000</v>
      </c>
      <c r="N13" s="381">
        <f>+N31+N48+N65+N82</f>
        <v>157000</v>
      </c>
      <c r="O13" s="382"/>
      <c r="P13" s="383">
        <f>+P31+P48+P65+P82</f>
        <v>0</v>
      </c>
      <c r="Q13" s="382"/>
      <c r="R13" s="363"/>
      <c r="S13" s="341"/>
      <c r="T13" s="341"/>
      <c r="U13" s="341"/>
      <c r="V13" s="341"/>
      <c r="W13" s="341"/>
      <c r="X13" s="341"/>
      <c r="Y13" s="341"/>
      <c r="Z13" s="341"/>
      <c r="AA13" s="341"/>
      <c r="AB13" s="341"/>
      <c r="AC13" s="341"/>
      <c r="AD13" s="341"/>
      <c r="AE13" s="341"/>
      <c r="AF13" s="341"/>
      <c r="AG13" s="341"/>
      <c r="AH13" s="341"/>
      <c r="AI13" s="341"/>
      <c r="AJ13" s="341"/>
    </row>
    <row r="14" spans="1:36" ht="9.75" customHeight="1" outlineLevel="1" x14ac:dyDescent="0.2">
      <c r="A14" s="340"/>
      <c r="B14" s="357"/>
      <c r="C14" s="384"/>
      <c r="D14" s="358"/>
      <c r="E14" s="385"/>
      <c r="F14" s="386"/>
      <c r="G14" s="370"/>
      <c r="H14" s="384"/>
      <c r="I14" s="359"/>
      <c r="J14" s="358"/>
      <c r="K14" s="358"/>
      <c r="L14" s="358"/>
      <c r="M14" s="358"/>
      <c r="N14" s="358"/>
      <c r="O14" s="358"/>
      <c r="P14" s="358"/>
      <c r="Q14" s="358"/>
      <c r="R14" s="363"/>
      <c r="S14" s="341"/>
      <c r="T14" s="341"/>
      <c r="U14" s="341"/>
      <c r="V14" s="341"/>
      <c r="W14" s="341"/>
      <c r="X14" s="341"/>
      <c r="Y14" s="341"/>
      <c r="Z14" s="341"/>
      <c r="AA14" s="341"/>
      <c r="AB14" s="341"/>
      <c r="AC14" s="341"/>
      <c r="AD14" s="341"/>
      <c r="AE14" s="341"/>
      <c r="AF14" s="341"/>
      <c r="AG14" s="341"/>
      <c r="AH14" s="341"/>
      <c r="AI14" s="341"/>
      <c r="AJ14" s="341"/>
    </row>
    <row r="15" spans="1:36" ht="18" outlineLevel="1" x14ac:dyDescent="0.2">
      <c r="A15" s="340"/>
      <c r="B15" s="357"/>
      <c r="C15" s="386" t="s">
        <v>142</v>
      </c>
      <c r="D15" s="358"/>
      <c r="E15" s="386">
        <f>+E33+E50+E67+E84</f>
        <v>18547150</v>
      </c>
      <c r="F15" s="386"/>
      <c r="G15" s="370"/>
      <c r="H15" s="386">
        <f>+H33+H50+H67+H84</f>
        <v>18250395.600000001</v>
      </c>
      <c r="I15" s="359"/>
      <c r="J15" s="358"/>
      <c r="K15" s="386">
        <f>+K33+K50+K67+K84</f>
        <v>0</v>
      </c>
      <c r="L15" s="386">
        <f>+L33+L50+L67+L84</f>
        <v>1706580</v>
      </c>
      <c r="M15" s="386">
        <f>+M33+M50+M67+M84</f>
        <v>4418020</v>
      </c>
      <c r="N15" s="386">
        <f>+N33+N50+N67+N84</f>
        <v>12422550</v>
      </c>
      <c r="O15" s="386"/>
      <c r="P15" s="386"/>
      <c r="Q15" s="386"/>
      <c r="R15" s="363"/>
      <c r="S15" s="341"/>
      <c r="T15" s="341"/>
      <c r="U15" s="341"/>
      <c r="V15" s="341"/>
      <c r="W15" s="341"/>
      <c r="X15" s="341"/>
      <c r="Y15" s="341"/>
      <c r="Z15" s="341"/>
      <c r="AA15" s="341"/>
      <c r="AB15" s="341"/>
      <c r="AC15" s="341"/>
      <c r="AD15" s="341"/>
      <c r="AE15" s="341"/>
      <c r="AF15" s="341"/>
      <c r="AG15" s="341"/>
      <c r="AH15" s="341"/>
      <c r="AI15" s="341"/>
      <c r="AJ15" s="341"/>
    </row>
    <row r="16" spans="1:36" ht="9.75" customHeight="1" outlineLevel="1" x14ac:dyDescent="0.2">
      <c r="A16" s="340"/>
      <c r="B16" s="357"/>
      <c r="C16" s="386"/>
      <c r="D16" s="358"/>
      <c r="E16" s="386"/>
      <c r="F16" s="386"/>
      <c r="G16" s="370"/>
      <c r="H16" s="386"/>
      <c r="I16" s="359"/>
      <c r="J16" s="358"/>
      <c r="K16" s="358"/>
      <c r="L16" s="358"/>
      <c r="M16" s="358"/>
      <c r="N16" s="358"/>
      <c r="O16" s="358"/>
      <c r="P16" s="358"/>
      <c r="Q16" s="358"/>
      <c r="R16" s="363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1"/>
    </row>
    <row r="17" spans="1:36" ht="18" outlineLevel="1" x14ac:dyDescent="0.2">
      <c r="A17" s="340"/>
      <c r="B17" s="357"/>
      <c r="C17" s="386" t="s">
        <v>143</v>
      </c>
      <c r="D17" s="358"/>
      <c r="E17" s="386">
        <f>+E35+E52+E69+E86</f>
        <v>13126000</v>
      </c>
      <c r="F17" s="386"/>
      <c r="G17" s="370"/>
      <c r="H17" s="386">
        <f>+H35+H52+H69+H86</f>
        <v>12968488</v>
      </c>
      <c r="I17" s="359"/>
      <c r="J17" s="358"/>
      <c r="K17" s="386">
        <f>+K35+K52+K69+K86</f>
        <v>449000</v>
      </c>
      <c r="L17" s="386">
        <f>+L35+L52+L69+L86</f>
        <v>2469000</v>
      </c>
      <c r="M17" s="386">
        <f>+M35+M52+M69+M86</f>
        <v>3119000</v>
      </c>
      <c r="N17" s="386">
        <f>+N35+N52+N69+N86</f>
        <v>7089000</v>
      </c>
      <c r="O17" s="386"/>
      <c r="P17" s="386"/>
      <c r="Q17" s="386"/>
      <c r="R17" s="363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</row>
    <row r="18" spans="1:36" ht="9.75" customHeight="1" outlineLevel="1" x14ac:dyDescent="0.2">
      <c r="A18" s="340"/>
      <c r="B18" s="357"/>
      <c r="C18" s="386"/>
      <c r="D18" s="358"/>
      <c r="E18" s="386"/>
      <c r="F18" s="386"/>
      <c r="G18" s="370"/>
      <c r="H18" s="386"/>
      <c r="I18" s="359"/>
      <c r="J18" s="358"/>
      <c r="K18" s="358"/>
      <c r="L18" s="358"/>
      <c r="M18" s="358"/>
      <c r="N18" s="358"/>
      <c r="O18" s="358"/>
      <c r="P18" s="387"/>
      <c r="Q18" s="358"/>
      <c r="R18" s="363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</row>
    <row r="19" spans="1:36" ht="18" outlineLevel="1" x14ac:dyDescent="0.2">
      <c r="A19" s="340"/>
      <c r="B19" s="357"/>
      <c r="C19" s="388" t="s">
        <v>59</v>
      </c>
      <c r="D19" s="389"/>
      <c r="E19" s="390">
        <f>+E15-E17</f>
        <v>5421150</v>
      </c>
      <c r="F19" s="382"/>
      <c r="G19" s="370"/>
      <c r="H19" s="391">
        <f>+H15-H17</f>
        <v>5281907.6000000015</v>
      </c>
      <c r="I19" s="392"/>
      <c r="J19" s="358"/>
      <c r="K19" s="379">
        <f>+K15-K17</f>
        <v>-449000</v>
      </c>
      <c r="L19" s="380">
        <f>+L15-L17</f>
        <v>-762420</v>
      </c>
      <c r="M19" s="380">
        <f>+M15-M17</f>
        <v>1299020</v>
      </c>
      <c r="N19" s="381">
        <f>+N15-N17</f>
        <v>5333550</v>
      </c>
      <c r="O19" s="382"/>
      <c r="P19" s="393" t="s">
        <v>141</v>
      </c>
      <c r="Q19" s="394">
        <v>0.15</v>
      </c>
      <c r="R19" s="363"/>
      <c r="S19" s="341"/>
      <c r="T19" s="341"/>
      <c r="U19" s="341"/>
      <c r="V19" s="341"/>
      <c r="W19" s="341"/>
      <c r="X19" s="341"/>
      <c r="Y19" s="341"/>
      <c r="Z19" s="341"/>
      <c r="AA19" s="341"/>
      <c r="AB19" s="341"/>
      <c r="AC19" s="341"/>
      <c r="AD19" s="341"/>
      <c r="AE19" s="341"/>
      <c r="AF19" s="341"/>
      <c r="AG19" s="341"/>
      <c r="AH19" s="341"/>
      <c r="AI19" s="341"/>
      <c r="AJ19" s="341"/>
    </row>
    <row r="20" spans="1:36" ht="18" outlineLevel="1" x14ac:dyDescent="0.2">
      <c r="A20" s="340"/>
      <c r="B20" s="357"/>
      <c r="C20" s="369"/>
      <c r="D20" s="358"/>
      <c r="E20" s="395"/>
      <c r="F20" s="386"/>
      <c r="G20" s="370"/>
      <c r="H20" s="369"/>
      <c r="I20" s="359"/>
      <c r="J20" s="358"/>
      <c r="K20" s="396">
        <f>+K19-K13</f>
        <v>-2042000</v>
      </c>
      <c r="L20" s="396">
        <f>+L19-L13</f>
        <v>-989420</v>
      </c>
      <c r="M20" s="396">
        <f>+M19-M13</f>
        <v>988020</v>
      </c>
      <c r="N20" s="396">
        <f>+N19-N13</f>
        <v>5176550</v>
      </c>
      <c r="O20" s="358"/>
      <c r="P20" s="358"/>
      <c r="Q20" s="358"/>
      <c r="R20" s="363"/>
      <c r="S20" s="341"/>
      <c r="T20" s="341"/>
      <c r="U20" s="341"/>
      <c r="V20" s="341"/>
      <c r="W20" s="341"/>
      <c r="X20" s="341"/>
      <c r="Y20" s="341"/>
      <c r="Z20" s="341"/>
      <c r="AA20" s="341"/>
      <c r="AB20" s="341"/>
      <c r="AC20" s="341"/>
      <c r="AD20" s="341"/>
      <c r="AE20" s="341"/>
      <c r="AF20" s="341"/>
      <c r="AG20" s="341"/>
      <c r="AH20" s="341"/>
      <c r="AI20" s="341"/>
      <c r="AJ20" s="341"/>
    </row>
    <row r="21" spans="1:36" ht="18" x14ac:dyDescent="0.2">
      <c r="A21" s="340"/>
      <c r="B21" s="357"/>
      <c r="C21" s="397" t="s">
        <v>38</v>
      </c>
      <c r="D21" s="398"/>
      <c r="E21" s="399">
        <f>IF(E13&lt;&gt;0,(+E19-E13)/E13,"---")</f>
        <v>1.3693837412587413</v>
      </c>
      <c r="F21" s="400"/>
      <c r="G21" s="401"/>
      <c r="H21" s="402">
        <f>IF(H13&lt;&gt;0,(+H19-H13)/H13,"---")</f>
        <v>1.2632608323049506</v>
      </c>
      <c r="I21" s="359"/>
      <c r="J21" s="358"/>
      <c r="K21" s="403" t="s">
        <v>69</v>
      </c>
      <c r="L21" s="404"/>
      <c r="M21" s="404"/>
      <c r="N21" s="405"/>
      <c r="O21" s="358"/>
      <c r="P21" s="406" t="s">
        <v>77</v>
      </c>
      <c r="Q21" s="407">
        <f>+$Q$19</f>
        <v>0.15</v>
      </c>
      <c r="R21" s="363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</row>
    <row r="22" spans="1:36" ht="18" x14ac:dyDescent="0.2">
      <c r="A22" s="340"/>
      <c r="B22" s="357"/>
      <c r="C22" s="408"/>
      <c r="D22" s="358"/>
      <c r="E22" s="409"/>
      <c r="F22" s="358"/>
      <c r="G22" s="410"/>
      <c r="H22" s="411"/>
      <c r="I22" s="412"/>
      <c r="J22" s="358"/>
      <c r="K22" s="413" t="str">
        <f>IF((SUM($K19:K19)-SUM($K13:K13))&gt;0,K11,"··&gt;")</f>
        <v>··&gt;</v>
      </c>
      <c r="L22" s="414" t="str">
        <f>IF((SUM($K19:L19)-SUM($K13:L13))&gt;0,L11,"··&gt;")</f>
        <v>··&gt;</v>
      </c>
      <c r="M22" s="414" t="str">
        <f>IF((SUM($K19:M19)-SUM($K13:M13))&gt;0,M11,"··&gt;")</f>
        <v>··&gt;</v>
      </c>
      <c r="N22" s="415" t="str">
        <f>IF((SUM($K19:N19)-SUM($K13:N13))&gt;0,N11,"··&gt;")</f>
        <v>Año4</v>
      </c>
      <c r="O22" s="416"/>
      <c r="P22" s="417">
        <f>NPV($Q$19,K20:N20)</f>
        <v>1085552.6102322398</v>
      </c>
      <c r="Q22" s="418"/>
      <c r="R22" s="363"/>
      <c r="S22" s="341"/>
      <c r="T22" s="341"/>
      <c r="U22" s="341"/>
      <c r="V22" s="341"/>
      <c r="W22" s="341"/>
      <c r="X22" s="341"/>
      <c r="Y22" s="341"/>
      <c r="Z22" s="341"/>
      <c r="AA22" s="341"/>
      <c r="AB22" s="341"/>
      <c r="AC22" s="341"/>
      <c r="AD22" s="341"/>
      <c r="AE22" s="341"/>
      <c r="AF22" s="341"/>
      <c r="AG22" s="341"/>
      <c r="AH22" s="341"/>
      <c r="AI22" s="341"/>
      <c r="AJ22" s="341"/>
    </row>
    <row r="23" spans="1:36" ht="19" thickBot="1" x14ac:dyDescent="0.25">
      <c r="A23" s="340"/>
      <c r="B23" s="419"/>
      <c r="C23" s="420"/>
      <c r="D23" s="420"/>
      <c r="E23" s="421"/>
      <c r="F23" s="420"/>
      <c r="G23" s="420"/>
      <c r="H23" s="420"/>
      <c r="I23" s="420"/>
      <c r="J23" s="420"/>
      <c r="K23" s="420"/>
      <c r="L23" s="420"/>
      <c r="M23" s="420"/>
      <c r="N23" s="420"/>
      <c r="O23" s="420"/>
      <c r="P23" s="420"/>
      <c r="Q23" s="420"/>
      <c r="R23" s="422"/>
      <c r="S23" s="341"/>
      <c r="T23" s="341"/>
      <c r="U23" s="341"/>
      <c r="V23" s="341"/>
      <c r="W23" s="341"/>
      <c r="X23" s="341"/>
      <c r="Y23" s="341"/>
      <c r="Z23" s="341"/>
      <c r="AA23" s="341"/>
      <c r="AB23" s="341"/>
      <c r="AC23" s="341"/>
      <c r="AD23" s="341"/>
      <c r="AE23" s="341"/>
      <c r="AF23" s="341"/>
      <c r="AG23" s="341"/>
      <c r="AH23" s="341"/>
      <c r="AI23" s="341"/>
      <c r="AJ23" s="341"/>
    </row>
    <row r="24" spans="1:36" ht="18" x14ac:dyDescent="0.2">
      <c r="A24" s="341"/>
      <c r="B24" s="423"/>
      <c r="C24" s="423"/>
      <c r="D24" s="423"/>
      <c r="E24" s="423"/>
      <c r="F24" s="423"/>
      <c r="G24" s="423"/>
      <c r="H24" s="423"/>
      <c r="I24" s="423"/>
      <c r="J24" s="423"/>
      <c r="K24" s="423"/>
      <c r="L24" s="423"/>
      <c r="M24" s="423"/>
      <c r="N24" s="423"/>
      <c r="O24" s="423"/>
      <c r="P24" s="423"/>
      <c r="Q24" s="423"/>
      <c r="R24" s="423"/>
      <c r="S24" s="341"/>
      <c r="T24" s="341"/>
      <c r="U24" s="341"/>
      <c r="V24" s="341"/>
      <c r="W24" s="341"/>
      <c r="X24" s="341"/>
      <c r="Y24" s="341"/>
      <c r="Z24" s="341"/>
      <c r="AA24" s="341"/>
      <c r="AB24" s="341"/>
      <c r="AC24" s="341"/>
      <c r="AD24" s="341"/>
      <c r="AE24" s="341"/>
      <c r="AF24" s="341"/>
      <c r="AG24" s="341"/>
      <c r="AH24" s="341"/>
      <c r="AI24" s="341"/>
      <c r="AJ24" s="341"/>
    </row>
    <row r="25" spans="1:36" ht="19" thickBot="1" x14ac:dyDescent="0.25">
      <c r="A25" s="341"/>
      <c r="B25" s="423"/>
      <c r="C25" s="423"/>
      <c r="D25" s="423"/>
      <c r="E25" s="423"/>
      <c r="F25" s="423"/>
      <c r="G25" s="423"/>
      <c r="H25" s="423"/>
      <c r="I25" s="423"/>
      <c r="J25" s="423"/>
      <c r="K25" s="423"/>
      <c r="L25" s="423"/>
      <c r="M25" s="423"/>
      <c r="N25" s="423"/>
      <c r="O25" s="423"/>
      <c r="P25" s="423"/>
      <c r="Q25" s="423"/>
      <c r="R25" s="423"/>
      <c r="S25" s="341"/>
      <c r="T25" s="341"/>
      <c r="U25" s="341"/>
      <c r="V25" s="341"/>
      <c r="W25" s="341"/>
      <c r="X25" s="341"/>
      <c r="Y25" s="341"/>
      <c r="Z25" s="341"/>
      <c r="AA25" s="341"/>
      <c r="AB25" s="341"/>
      <c r="AC25" s="341"/>
      <c r="AD25" s="341"/>
      <c r="AE25" s="341"/>
      <c r="AF25" s="341"/>
      <c r="AG25" s="341"/>
      <c r="AH25" s="341"/>
      <c r="AI25" s="341"/>
      <c r="AJ25" s="341"/>
    </row>
    <row r="26" spans="1:36" ht="18" x14ac:dyDescent="0.2">
      <c r="A26" s="340"/>
      <c r="B26" s="353"/>
      <c r="C26" s="354" t="s">
        <v>65</v>
      </c>
      <c r="D26" s="355"/>
      <c r="E26" s="355" t="str">
        <f>+Definición!C4</f>
        <v>TRIPMATE</v>
      </c>
      <c r="F26" s="355"/>
      <c r="G26" s="355"/>
      <c r="H26" s="355"/>
      <c r="I26" s="355"/>
      <c r="J26" s="355"/>
      <c r="K26" s="355"/>
      <c r="L26" s="355"/>
      <c r="M26" s="355"/>
      <c r="N26" s="355"/>
      <c r="O26" s="355"/>
      <c r="P26" s="355"/>
      <c r="Q26" s="355"/>
      <c r="R26" s="356"/>
      <c r="S26" s="341"/>
      <c r="T26" s="341"/>
      <c r="U26" s="341"/>
      <c r="V26" s="341"/>
      <c r="W26" s="341"/>
      <c r="X26" s="341"/>
      <c r="Y26" s="341"/>
      <c r="Z26" s="341"/>
      <c r="AA26" s="341"/>
      <c r="AB26" s="341"/>
      <c r="AC26" s="341"/>
      <c r="AD26" s="341"/>
      <c r="AE26" s="341"/>
      <c r="AF26" s="341"/>
      <c r="AG26" s="341"/>
      <c r="AH26" s="341"/>
      <c r="AI26" s="341"/>
      <c r="AJ26" s="341"/>
    </row>
    <row r="27" spans="1:36" ht="18" x14ac:dyDescent="0.2">
      <c r="A27" s="340"/>
      <c r="B27" s="357"/>
      <c r="C27" s="358"/>
      <c r="D27" s="358"/>
      <c r="E27" s="358"/>
      <c r="F27" s="359"/>
      <c r="G27" s="360"/>
      <c r="H27" s="361"/>
      <c r="I27" s="362"/>
      <c r="J27" s="358"/>
      <c r="K27" s="358"/>
      <c r="L27" s="358"/>
      <c r="M27" s="358"/>
      <c r="N27" s="358"/>
      <c r="O27" s="358"/>
      <c r="P27" s="358"/>
      <c r="Q27" s="358"/>
      <c r="R27" s="363"/>
      <c r="S27" s="341"/>
      <c r="T27" s="341"/>
      <c r="U27" s="341"/>
      <c r="V27" s="341"/>
      <c r="W27" s="341"/>
      <c r="X27" s="341"/>
      <c r="Y27" s="341"/>
      <c r="Z27" s="341"/>
      <c r="AA27" s="341"/>
      <c r="AB27" s="341"/>
      <c r="AC27" s="341"/>
      <c r="AD27" s="341"/>
      <c r="AE27" s="341"/>
      <c r="AF27" s="341"/>
      <c r="AG27" s="341"/>
      <c r="AH27" s="341"/>
      <c r="AI27" s="341"/>
      <c r="AJ27" s="341"/>
    </row>
    <row r="28" spans="1:36" ht="18" x14ac:dyDescent="0.2">
      <c r="A28" s="340"/>
      <c r="B28" s="357"/>
      <c r="C28" s="358"/>
      <c r="D28" s="358"/>
      <c r="E28" s="364"/>
      <c r="F28" s="365"/>
      <c r="G28" s="366"/>
      <c r="H28" s="364"/>
      <c r="I28" s="359"/>
      <c r="J28" s="358"/>
      <c r="K28" s="364"/>
      <c r="L28" s="364"/>
      <c r="M28" s="364"/>
      <c r="N28" s="364"/>
      <c r="O28" s="364"/>
      <c r="P28" s="367"/>
      <c r="Q28" s="364"/>
      <c r="R28" s="363"/>
      <c r="S28" s="341"/>
      <c r="T28" s="341"/>
      <c r="U28" s="341"/>
      <c r="V28" s="341"/>
      <c r="W28" s="341"/>
      <c r="X28" s="341"/>
      <c r="Y28" s="341"/>
      <c r="Z28" s="341"/>
      <c r="AA28" s="341"/>
      <c r="AB28" s="341"/>
      <c r="AC28" s="341"/>
      <c r="AD28" s="341"/>
      <c r="AE28" s="341"/>
      <c r="AF28" s="341"/>
      <c r="AG28" s="341"/>
      <c r="AH28" s="341"/>
      <c r="AI28" s="341"/>
      <c r="AJ28" s="341"/>
    </row>
    <row r="29" spans="1:36" ht="18" x14ac:dyDescent="0.2">
      <c r="A29" s="340"/>
      <c r="B29" s="357"/>
      <c r="C29" s="368"/>
      <c r="D29" s="358"/>
      <c r="E29" s="369" t="s">
        <v>30</v>
      </c>
      <c r="F29" s="369"/>
      <c r="G29" s="370"/>
      <c r="H29" s="369" t="s">
        <v>78</v>
      </c>
      <c r="I29" s="359"/>
      <c r="J29" s="358"/>
      <c r="K29" s="369" t="s">
        <v>61</v>
      </c>
      <c r="L29" s="369" t="s">
        <v>62</v>
      </c>
      <c r="M29" s="369" t="s">
        <v>63</v>
      </c>
      <c r="N29" s="369" t="s">
        <v>64</v>
      </c>
      <c r="O29" s="369"/>
      <c r="P29" s="371"/>
      <c r="Q29" s="369"/>
      <c r="R29" s="363"/>
      <c r="S29" s="341"/>
      <c r="T29" s="341"/>
      <c r="U29" s="341"/>
      <c r="V29" s="341"/>
      <c r="W29" s="341"/>
      <c r="X29" s="341"/>
      <c r="Y29" s="341"/>
      <c r="Z29" s="341"/>
      <c r="AA29" s="341"/>
      <c r="AB29" s="341"/>
      <c r="AC29" s="341"/>
      <c r="AD29" s="341"/>
      <c r="AE29" s="341"/>
      <c r="AF29" s="341"/>
      <c r="AG29" s="341"/>
      <c r="AH29" s="341"/>
      <c r="AI29" s="341"/>
      <c r="AJ29" s="341"/>
    </row>
    <row r="30" spans="1:36" ht="18" outlineLevel="1" x14ac:dyDescent="0.2">
      <c r="A30" s="340"/>
      <c r="B30" s="357"/>
      <c r="C30" s="372"/>
      <c r="D30" s="373"/>
      <c r="E30" s="374"/>
      <c r="F30" s="375"/>
      <c r="G30" s="376"/>
      <c r="H30" s="377"/>
      <c r="I30" s="378"/>
      <c r="J30" s="358"/>
      <c r="K30" s="379"/>
      <c r="L30" s="380"/>
      <c r="M30" s="380"/>
      <c r="N30" s="381"/>
      <c r="O30" s="382"/>
      <c r="P30" s="371" t="s">
        <v>74</v>
      </c>
      <c r="Q30" s="382"/>
      <c r="R30" s="363"/>
      <c r="S30" s="341"/>
      <c r="T30" s="341"/>
      <c r="U30" s="341"/>
      <c r="V30" s="341"/>
      <c r="W30" s="341"/>
      <c r="X30" s="341"/>
      <c r="Y30" s="341"/>
      <c r="Z30" s="341"/>
      <c r="AA30" s="341"/>
      <c r="AB30" s="341"/>
      <c r="AC30" s="341"/>
      <c r="AD30" s="341"/>
      <c r="AE30" s="341"/>
      <c r="AF30" s="341"/>
      <c r="AG30" s="341"/>
      <c r="AH30" s="341"/>
      <c r="AI30" s="341"/>
      <c r="AJ30" s="341"/>
    </row>
    <row r="31" spans="1:36" ht="18" outlineLevel="1" x14ac:dyDescent="0.2">
      <c r="A31" s="340"/>
      <c r="B31" s="357"/>
      <c r="C31" s="384" t="s">
        <v>4</v>
      </c>
      <c r="D31" s="358"/>
      <c r="E31" s="385">
        <f>SUM(K31:N31)-P31</f>
        <v>2288000</v>
      </c>
      <c r="F31" s="386"/>
      <c r="G31" s="370"/>
      <c r="H31" s="384">
        <f>+E31*Riesgos!I29</f>
        <v>2333760</v>
      </c>
      <c r="I31" s="359"/>
      <c r="J31" s="358"/>
      <c r="K31" s="358">
        <f>+'Inversiones y Costes'!D9</f>
        <v>1593000</v>
      </c>
      <c r="L31" s="358">
        <f>+'Inversiones y Costes'!G9</f>
        <v>227000</v>
      </c>
      <c r="M31" s="358">
        <f>+'Inversiones y Costes'!J9</f>
        <v>311000</v>
      </c>
      <c r="N31" s="358">
        <f>+'Inversiones y Costes'!M9</f>
        <v>157000</v>
      </c>
      <c r="O31" s="358"/>
      <c r="P31" s="383">
        <f>+'Inversiones y Costes'!S9</f>
        <v>0</v>
      </c>
      <c r="Q31" s="358"/>
      <c r="R31" s="363"/>
      <c r="S31" s="341"/>
      <c r="T31" s="341"/>
      <c r="U31" s="341"/>
      <c r="V31" s="341"/>
      <c r="W31" s="341"/>
      <c r="X31" s="341"/>
      <c r="Y31" s="341"/>
      <c r="Z31" s="341"/>
      <c r="AA31" s="341"/>
      <c r="AB31" s="341"/>
      <c r="AC31" s="341"/>
      <c r="AD31" s="341"/>
      <c r="AE31" s="341"/>
      <c r="AF31" s="341"/>
      <c r="AG31" s="341"/>
      <c r="AH31" s="341"/>
      <c r="AI31" s="341"/>
      <c r="AJ31" s="341"/>
    </row>
    <row r="32" spans="1:36" ht="9.75" customHeight="1" outlineLevel="1" x14ac:dyDescent="0.2">
      <c r="A32" s="340"/>
      <c r="B32" s="357"/>
      <c r="C32" s="386"/>
      <c r="D32" s="358"/>
      <c r="E32" s="386"/>
      <c r="F32" s="386"/>
      <c r="G32" s="370"/>
      <c r="H32" s="386"/>
      <c r="I32" s="359"/>
      <c r="J32" s="358"/>
      <c r="K32" s="386"/>
      <c r="L32" s="386"/>
      <c r="M32" s="386"/>
      <c r="N32" s="386"/>
      <c r="O32" s="386"/>
      <c r="P32" s="386"/>
      <c r="Q32" s="386"/>
      <c r="R32" s="363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</row>
    <row r="33" spans="1:36" ht="18" outlineLevel="1" x14ac:dyDescent="0.2">
      <c r="A33" s="340"/>
      <c r="B33" s="357"/>
      <c r="C33" s="386" t="s">
        <v>144</v>
      </c>
      <c r="D33" s="358"/>
      <c r="E33" s="386">
        <f>SUM(K33:N33)</f>
        <v>18547150</v>
      </c>
      <c r="F33" s="386"/>
      <c r="G33" s="370"/>
      <c r="H33" s="386">
        <f>+E33*Riesgos!J29</f>
        <v>18250395.600000001</v>
      </c>
      <c r="I33" s="359"/>
      <c r="J33" s="358"/>
      <c r="K33" s="358">
        <f>+Ingresos!D9</f>
        <v>0</v>
      </c>
      <c r="L33" s="358">
        <f>+Ingresos!G9</f>
        <v>1706580</v>
      </c>
      <c r="M33" s="358">
        <f>+Ingresos!J9</f>
        <v>4418020</v>
      </c>
      <c r="N33" s="358">
        <f>+Ingresos!M9</f>
        <v>12422550</v>
      </c>
      <c r="O33" s="358"/>
      <c r="P33" s="358"/>
      <c r="Q33" s="358"/>
      <c r="R33" s="363"/>
      <c r="S33" s="341"/>
      <c r="T33" s="341"/>
      <c r="U33" s="341"/>
      <c r="V33" s="341"/>
      <c r="W33" s="341"/>
      <c r="X33" s="341"/>
      <c r="Y33" s="341"/>
      <c r="Z33" s="341"/>
      <c r="AA33" s="341"/>
      <c r="AB33" s="341"/>
      <c r="AC33" s="341"/>
      <c r="AD33" s="341"/>
      <c r="AE33" s="341"/>
      <c r="AF33" s="341"/>
      <c r="AG33" s="341"/>
      <c r="AH33" s="341"/>
      <c r="AI33" s="341"/>
      <c r="AJ33" s="341"/>
    </row>
    <row r="34" spans="1:36" ht="9.75" customHeight="1" outlineLevel="1" x14ac:dyDescent="0.2">
      <c r="A34" s="340"/>
      <c r="B34" s="357"/>
      <c r="C34" s="386"/>
      <c r="D34" s="358"/>
      <c r="E34" s="386"/>
      <c r="F34" s="386"/>
      <c r="G34" s="370"/>
      <c r="H34" s="386"/>
      <c r="I34" s="359"/>
      <c r="J34" s="358"/>
      <c r="K34" s="386"/>
      <c r="L34" s="386"/>
      <c r="M34" s="386"/>
      <c r="N34" s="386"/>
      <c r="O34" s="386"/>
      <c r="P34" s="386"/>
      <c r="Q34" s="386"/>
      <c r="R34" s="363"/>
      <c r="S34" s="341"/>
      <c r="T34" s="341"/>
      <c r="U34" s="341"/>
      <c r="V34" s="341"/>
      <c r="W34" s="341"/>
      <c r="X34" s="341"/>
      <c r="Y34" s="341"/>
      <c r="Z34" s="341"/>
      <c r="AA34" s="341"/>
      <c r="AB34" s="341"/>
      <c r="AC34" s="341"/>
      <c r="AD34" s="341"/>
      <c r="AE34" s="341"/>
      <c r="AF34" s="341"/>
      <c r="AG34" s="341"/>
      <c r="AH34" s="341"/>
      <c r="AI34" s="341"/>
      <c r="AJ34" s="341"/>
    </row>
    <row r="35" spans="1:36" ht="18" outlineLevel="1" x14ac:dyDescent="0.2">
      <c r="A35" s="340"/>
      <c r="B35" s="357"/>
      <c r="C35" s="386" t="s">
        <v>145</v>
      </c>
      <c r="D35" s="358"/>
      <c r="E35" s="386">
        <f>SUM(K35:N35)</f>
        <v>13126000</v>
      </c>
      <c r="F35" s="386"/>
      <c r="G35" s="370"/>
      <c r="H35" s="386">
        <f>+E35*Riesgos!K29</f>
        <v>12968488</v>
      </c>
      <c r="I35" s="359"/>
      <c r="J35" s="358"/>
      <c r="K35" s="358">
        <f>+'Reducción Gastos'!D9</f>
        <v>449000</v>
      </c>
      <c r="L35" s="358">
        <f>+'Reducción Gastos'!G9</f>
        <v>2469000</v>
      </c>
      <c r="M35" s="358">
        <f>+'Reducción Gastos'!J9</f>
        <v>3119000</v>
      </c>
      <c r="N35" s="358">
        <f>+'Reducción Gastos'!M9</f>
        <v>7089000</v>
      </c>
      <c r="O35" s="358"/>
      <c r="P35" s="387"/>
      <c r="Q35" s="358"/>
      <c r="R35" s="363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  <c r="AC35" s="341"/>
      <c r="AD35" s="341"/>
      <c r="AE35" s="341"/>
      <c r="AF35" s="341"/>
      <c r="AG35" s="341"/>
      <c r="AH35" s="341"/>
      <c r="AI35" s="341"/>
      <c r="AJ35" s="341"/>
    </row>
    <row r="36" spans="1:36" ht="9.75" customHeight="1" outlineLevel="1" x14ac:dyDescent="0.2">
      <c r="A36" s="340"/>
      <c r="B36" s="357"/>
      <c r="C36" s="388"/>
      <c r="D36" s="389"/>
      <c r="E36" s="390"/>
      <c r="F36" s="382"/>
      <c r="G36" s="370"/>
      <c r="H36" s="391"/>
      <c r="I36" s="392"/>
      <c r="J36" s="358"/>
      <c r="K36" s="379"/>
      <c r="L36" s="380"/>
      <c r="M36" s="380"/>
      <c r="N36" s="381"/>
      <c r="O36" s="382"/>
      <c r="P36" s="431"/>
      <c r="Q36" s="432"/>
      <c r="R36" s="363"/>
      <c r="S36" s="341"/>
      <c r="T36" s="341"/>
      <c r="U36" s="341"/>
      <c r="V36" s="341"/>
      <c r="W36" s="341"/>
      <c r="X36" s="341"/>
      <c r="Y36" s="341"/>
      <c r="Z36" s="341"/>
      <c r="AA36" s="341"/>
      <c r="AB36" s="341"/>
      <c r="AC36" s="341"/>
      <c r="AD36" s="341"/>
      <c r="AE36" s="341"/>
      <c r="AF36" s="341"/>
      <c r="AG36" s="341"/>
      <c r="AH36" s="341"/>
      <c r="AI36" s="341"/>
      <c r="AJ36" s="341"/>
    </row>
    <row r="37" spans="1:36" ht="18" outlineLevel="1" x14ac:dyDescent="0.2">
      <c r="A37" s="340"/>
      <c r="B37" s="357"/>
      <c r="C37" s="369" t="s">
        <v>59</v>
      </c>
      <c r="D37" s="358"/>
      <c r="E37" s="395">
        <f>+E33-E35</f>
        <v>5421150</v>
      </c>
      <c r="F37" s="386"/>
      <c r="G37" s="370"/>
      <c r="H37" s="369">
        <f>+H33-H35</f>
        <v>5281907.6000000015</v>
      </c>
      <c r="I37" s="359"/>
      <c r="J37" s="358"/>
      <c r="K37" s="396">
        <f>+K33-K35</f>
        <v>-449000</v>
      </c>
      <c r="L37" s="396">
        <f>+L33-L35</f>
        <v>-762420</v>
      </c>
      <c r="M37" s="396">
        <f>+M33-M35</f>
        <v>1299020</v>
      </c>
      <c r="N37" s="396">
        <f>+N33-N35</f>
        <v>5333550</v>
      </c>
      <c r="O37" s="358"/>
      <c r="P37" s="358"/>
      <c r="Q37" s="358"/>
      <c r="R37" s="363"/>
      <c r="S37" s="341"/>
      <c r="T37" s="341"/>
      <c r="U37" s="341"/>
      <c r="V37" s="341"/>
      <c r="W37" s="341"/>
      <c r="X37" s="341"/>
      <c r="Y37" s="341"/>
      <c r="Z37" s="341"/>
      <c r="AA37" s="341"/>
      <c r="AB37" s="341"/>
      <c r="AC37" s="341"/>
      <c r="AD37" s="341"/>
      <c r="AE37" s="341"/>
      <c r="AF37" s="341"/>
      <c r="AG37" s="341"/>
      <c r="AH37" s="341"/>
      <c r="AI37" s="341"/>
      <c r="AJ37" s="341"/>
    </row>
    <row r="38" spans="1:36" ht="18" outlineLevel="1" x14ac:dyDescent="0.2">
      <c r="A38" s="340"/>
      <c r="B38" s="357"/>
      <c r="C38" s="397"/>
      <c r="D38" s="398"/>
      <c r="E38" s="399"/>
      <c r="F38" s="400"/>
      <c r="G38" s="401"/>
      <c r="H38" s="402"/>
      <c r="I38" s="359"/>
      <c r="J38" s="358"/>
      <c r="K38" s="403">
        <f>+K37-K31</f>
        <v>-2042000</v>
      </c>
      <c r="L38" s="404">
        <f>+L37-L31</f>
        <v>-989420</v>
      </c>
      <c r="M38" s="404">
        <f>+M37-M31</f>
        <v>988020</v>
      </c>
      <c r="N38" s="405">
        <f>+N37-N31</f>
        <v>5176550</v>
      </c>
      <c r="O38" s="358"/>
      <c r="P38" s="406"/>
      <c r="Q38" s="407"/>
      <c r="R38" s="363"/>
      <c r="S38" s="340"/>
      <c r="T38" s="341"/>
      <c r="U38" s="341"/>
      <c r="V38" s="341"/>
      <c r="W38" s="341"/>
      <c r="X38" s="341"/>
      <c r="Y38" s="341"/>
      <c r="Z38" s="341"/>
      <c r="AA38" s="341"/>
      <c r="AB38" s="341"/>
      <c r="AC38" s="341"/>
      <c r="AD38" s="341"/>
      <c r="AE38" s="341"/>
      <c r="AF38" s="341"/>
      <c r="AG38" s="341"/>
      <c r="AH38" s="341"/>
      <c r="AI38" s="341"/>
      <c r="AJ38" s="341"/>
    </row>
    <row r="39" spans="1:36" ht="18" x14ac:dyDescent="0.2">
      <c r="A39" s="340"/>
      <c r="B39" s="357"/>
      <c r="C39" s="408" t="s">
        <v>38</v>
      </c>
      <c r="D39" s="358"/>
      <c r="E39" s="409">
        <f>IF(E31&lt;&gt;0,(+E37-E31)/E31,"---")</f>
        <v>1.3693837412587413</v>
      </c>
      <c r="F39" s="358"/>
      <c r="G39" s="410"/>
      <c r="H39" s="411">
        <f>IF(H31&lt;&gt;0,(+H37-H31)/H31,"---")</f>
        <v>1.2632608323049506</v>
      </c>
      <c r="I39" s="412"/>
      <c r="J39" s="358"/>
      <c r="K39" s="413" t="s">
        <v>69</v>
      </c>
      <c r="L39" s="414"/>
      <c r="M39" s="414"/>
      <c r="N39" s="418"/>
      <c r="O39" s="416"/>
      <c r="P39" s="417" t="s">
        <v>77</v>
      </c>
      <c r="Q39" s="433">
        <f>+$Q$19</f>
        <v>0.15</v>
      </c>
      <c r="R39" s="363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</row>
    <row r="40" spans="1:36" ht="19" thickBot="1" x14ac:dyDescent="0.25">
      <c r="A40" s="340"/>
      <c r="B40" s="419"/>
      <c r="C40" s="420"/>
      <c r="D40" s="420"/>
      <c r="E40" s="421"/>
      <c r="F40" s="420"/>
      <c r="G40" s="420"/>
      <c r="H40" s="420"/>
      <c r="I40" s="420"/>
      <c r="J40" s="420"/>
      <c r="K40" s="420" t="str">
        <f>IF((SUM($K37:K37)-SUM($K31:K31))&gt;0,K29,"··&gt;")</f>
        <v>··&gt;</v>
      </c>
      <c r="L40" s="420" t="str">
        <f>IF((SUM($K37:L37)-SUM($K31:L31))&gt;0,L29,"··&gt;")</f>
        <v>··&gt;</v>
      </c>
      <c r="M40" s="420" t="str">
        <f>IF((SUM($K37:M37)-SUM($K31:M31))&gt;0,M29,"··&gt;")</f>
        <v>··&gt;</v>
      </c>
      <c r="N40" s="420" t="str">
        <f>IF((SUM($K37:N37)-SUM($K31:N31))&gt;0,N29,"··&gt;")</f>
        <v>Año4</v>
      </c>
      <c r="O40" s="420"/>
      <c r="P40" s="434">
        <f>NPV($Q$19,K38:N38)</f>
        <v>1085552.6102322398</v>
      </c>
      <c r="Q40" s="420"/>
      <c r="R40" s="422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</row>
    <row r="41" spans="1:36" ht="19" thickBot="1" x14ac:dyDescent="0.25">
      <c r="A41" s="340"/>
      <c r="B41" s="353"/>
      <c r="C41" s="354"/>
      <c r="D41" s="355"/>
      <c r="E41" s="355"/>
      <c r="F41" s="355"/>
      <c r="G41" s="355"/>
      <c r="H41" s="355"/>
      <c r="I41" s="355"/>
      <c r="J41" s="355"/>
      <c r="K41" s="355"/>
      <c r="L41" s="355"/>
      <c r="M41" s="355"/>
      <c r="N41" s="355"/>
      <c r="O41" s="355"/>
      <c r="P41" s="355"/>
      <c r="Q41" s="355"/>
      <c r="R41" s="356"/>
      <c r="S41" s="340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</row>
    <row r="42" spans="1:36" ht="19" thickBot="1" x14ac:dyDescent="0.25">
      <c r="A42" s="340"/>
      <c r="B42" s="424"/>
      <c r="C42" s="424"/>
      <c r="D42" s="424"/>
      <c r="E42" s="424"/>
      <c r="F42" s="424"/>
      <c r="G42" s="424"/>
      <c r="H42" s="424"/>
      <c r="I42" s="423"/>
      <c r="J42" s="423"/>
      <c r="K42" s="425"/>
      <c r="L42" s="425"/>
      <c r="M42" s="425"/>
      <c r="N42" s="425"/>
      <c r="O42" s="425"/>
      <c r="P42" s="425"/>
      <c r="Q42" s="425"/>
      <c r="R42" s="426"/>
      <c r="S42" s="340"/>
      <c r="T42" s="341"/>
      <c r="U42" s="341"/>
      <c r="V42" s="341"/>
      <c r="W42" s="341"/>
      <c r="X42" s="341"/>
      <c r="Y42" s="341"/>
      <c r="Z42" s="341"/>
      <c r="AA42" s="341"/>
      <c r="AB42" s="341"/>
      <c r="AC42" s="341"/>
      <c r="AD42" s="341"/>
      <c r="AE42" s="341"/>
      <c r="AF42" s="341"/>
      <c r="AG42" s="341"/>
      <c r="AH42" s="341"/>
      <c r="AI42" s="341"/>
      <c r="AJ42" s="341"/>
    </row>
    <row r="43" spans="1:36" ht="18" x14ac:dyDescent="0.2">
      <c r="A43" s="340"/>
      <c r="B43" s="353"/>
      <c r="C43" s="354" t="s">
        <v>66</v>
      </c>
      <c r="D43" s="355"/>
      <c r="E43" s="355" t="str">
        <f>+Definición!C11</f>
        <v>[Nombre ]</v>
      </c>
      <c r="F43" s="355"/>
      <c r="G43" s="355"/>
      <c r="H43" s="355"/>
      <c r="I43" s="355"/>
      <c r="J43" s="355"/>
      <c r="K43" s="355"/>
      <c r="L43" s="355"/>
      <c r="M43" s="355"/>
      <c r="N43" s="355"/>
      <c r="O43" s="355"/>
      <c r="P43" s="355"/>
      <c r="Q43" s="355"/>
      <c r="R43" s="356"/>
      <c r="S43" s="341"/>
      <c r="T43" s="341"/>
      <c r="U43" s="341"/>
      <c r="V43" s="341"/>
      <c r="W43" s="341"/>
      <c r="X43" s="341"/>
      <c r="Y43" s="341"/>
      <c r="Z43" s="341"/>
      <c r="AA43" s="341"/>
      <c r="AB43" s="341"/>
      <c r="AC43" s="341"/>
      <c r="AD43" s="341"/>
      <c r="AE43" s="341"/>
      <c r="AF43" s="341"/>
      <c r="AG43" s="341"/>
      <c r="AH43" s="341"/>
      <c r="AI43" s="341"/>
      <c r="AJ43" s="341"/>
    </row>
    <row r="44" spans="1:36" ht="18" x14ac:dyDescent="0.2">
      <c r="A44" s="340"/>
      <c r="B44" s="357"/>
      <c r="C44" s="358"/>
      <c r="D44" s="358"/>
      <c r="E44" s="358"/>
      <c r="F44" s="359"/>
      <c r="G44" s="360"/>
      <c r="H44" s="361"/>
      <c r="I44" s="362"/>
      <c r="J44" s="358"/>
      <c r="K44" s="358"/>
      <c r="L44" s="358"/>
      <c r="M44" s="358"/>
      <c r="N44" s="358"/>
      <c r="O44" s="358"/>
      <c r="P44" s="358"/>
      <c r="Q44" s="358"/>
      <c r="R44" s="363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</row>
    <row r="45" spans="1:36" ht="18" x14ac:dyDescent="0.2">
      <c r="A45" s="340"/>
      <c r="B45" s="357"/>
      <c r="C45" s="358"/>
      <c r="D45" s="358"/>
      <c r="E45" s="364"/>
      <c r="F45" s="365"/>
      <c r="G45" s="366"/>
      <c r="H45" s="364"/>
      <c r="I45" s="359"/>
      <c r="J45" s="358"/>
      <c r="K45" s="364"/>
      <c r="L45" s="364"/>
      <c r="M45" s="364"/>
      <c r="N45" s="364"/>
      <c r="O45" s="364"/>
      <c r="P45" s="367"/>
      <c r="Q45" s="364"/>
      <c r="R45" s="363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</row>
    <row r="46" spans="1:36" ht="18" x14ac:dyDescent="0.2">
      <c r="A46" s="340"/>
      <c r="B46" s="357"/>
      <c r="C46" s="368"/>
      <c r="D46" s="358"/>
      <c r="E46" s="369" t="s">
        <v>30</v>
      </c>
      <c r="F46" s="369"/>
      <c r="G46" s="370"/>
      <c r="H46" s="369" t="s">
        <v>78</v>
      </c>
      <c r="I46" s="359"/>
      <c r="J46" s="358"/>
      <c r="K46" s="369" t="s">
        <v>61</v>
      </c>
      <c r="L46" s="369" t="s">
        <v>62</v>
      </c>
      <c r="M46" s="369" t="s">
        <v>63</v>
      </c>
      <c r="N46" s="369" t="s">
        <v>64</v>
      </c>
      <c r="O46" s="369"/>
      <c r="P46" s="371"/>
      <c r="Q46" s="369"/>
      <c r="R46" s="363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</row>
    <row r="47" spans="1:36" ht="18" outlineLevel="1" x14ac:dyDescent="0.2">
      <c r="A47" s="340"/>
      <c r="B47" s="357"/>
      <c r="C47" s="372"/>
      <c r="D47" s="373"/>
      <c r="E47" s="374"/>
      <c r="F47" s="375"/>
      <c r="G47" s="376"/>
      <c r="H47" s="377"/>
      <c r="I47" s="378"/>
      <c r="J47" s="358"/>
      <c r="K47" s="379"/>
      <c r="L47" s="380"/>
      <c r="M47" s="380"/>
      <c r="N47" s="381"/>
      <c r="O47" s="382"/>
      <c r="P47" s="371" t="s">
        <v>74</v>
      </c>
      <c r="Q47" s="382"/>
      <c r="R47" s="363"/>
      <c r="S47" s="341"/>
      <c r="T47" s="341"/>
      <c r="U47" s="341"/>
      <c r="V47" s="341"/>
      <c r="W47" s="341"/>
      <c r="X47" s="341"/>
      <c r="Y47" s="341"/>
      <c r="Z47" s="341"/>
      <c r="AA47" s="341"/>
      <c r="AB47" s="341"/>
      <c r="AC47" s="341"/>
      <c r="AD47" s="341"/>
      <c r="AE47" s="341"/>
      <c r="AF47" s="341"/>
      <c r="AG47" s="341"/>
      <c r="AH47" s="341"/>
      <c r="AI47" s="341"/>
      <c r="AJ47" s="341"/>
    </row>
    <row r="48" spans="1:36" ht="18" outlineLevel="1" x14ac:dyDescent="0.2">
      <c r="A48" s="340"/>
      <c r="B48" s="357"/>
      <c r="C48" s="384" t="s">
        <v>4</v>
      </c>
      <c r="D48" s="358"/>
      <c r="E48" s="385">
        <f>SUM(K48:N48)-P48</f>
        <v>0</v>
      </c>
      <c r="F48" s="386"/>
      <c r="G48" s="370"/>
      <c r="H48" s="384">
        <f>+E48*Riesgos!I47</f>
        <v>0</v>
      </c>
      <c r="I48" s="359"/>
      <c r="J48" s="358"/>
      <c r="K48" s="358">
        <f>+'Inversiones y Costes'!W9</f>
        <v>0</v>
      </c>
      <c r="L48" s="358">
        <f>+'Inversiones y Costes'!Z9</f>
        <v>0</v>
      </c>
      <c r="M48" s="358">
        <f>+'Inversiones y Costes'!AC9</f>
        <v>0</v>
      </c>
      <c r="N48" s="358">
        <f>+'Inversiones y Costes'!AF9</f>
        <v>0</v>
      </c>
      <c r="O48" s="358"/>
      <c r="P48" s="383">
        <f>+'Inversiones y Costes'!AL9</f>
        <v>0</v>
      </c>
      <c r="Q48" s="358"/>
      <c r="R48" s="363"/>
      <c r="S48" s="341"/>
      <c r="T48" s="341"/>
      <c r="U48" s="341"/>
      <c r="V48" s="341"/>
      <c r="W48" s="341"/>
      <c r="X48" s="341"/>
      <c r="Y48" s="341"/>
      <c r="Z48" s="341"/>
      <c r="AA48" s="341"/>
      <c r="AB48" s="341"/>
      <c r="AC48" s="341"/>
      <c r="AD48" s="341"/>
      <c r="AE48" s="341"/>
      <c r="AF48" s="341"/>
      <c r="AG48" s="341"/>
      <c r="AH48" s="341"/>
      <c r="AI48" s="341"/>
      <c r="AJ48" s="341"/>
    </row>
    <row r="49" spans="1:36" ht="18" outlineLevel="1" x14ac:dyDescent="0.2">
      <c r="A49" s="340"/>
      <c r="B49" s="357"/>
      <c r="C49" s="386"/>
      <c r="D49" s="358"/>
      <c r="E49" s="386"/>
      <c r="F49" s="386"/>
      <c r="G49" s="370"/>
      <c r="H49" s="386"/>
      <c r="I49" s="359"/>
      <c r="J49" s="358"/>
      <c r="K49" s="386"/>
      <c r="L49" s="386"/>
      <c r="M49" s="386"/>
      <c r="N49" s="386"/>
      <c r="O49" s="386"/>
      <c r="P49" s="386"/>
      <c r="Q49" s="386"/>
      <c r="R49" s="363"/>
      <c r="S49" s="341"/>
      <c r="T49" s="341"/>
      <c r="U49" s="341"/>
      <c r="V49" s="341"/>
      <c r="W49" s="341"/>
      <c r="X49" s="341"/>
      <c r="Y49" s="341"/>
      <c r="Z49" s="341"/>
      <c r="AA49" s="341"/>
      <c r="AB49" s="341"/>
      <c r="AC49" s="341"/>
      <c r="AD49" s="341"/>
      <c r="AE49" s="341"/>
      <c r="AF49" s="341"/>
      <c r="AG49" s="341"/>
      <c r="AH49" s="341"/>
      <c r="AI49" s="341"/>
      <c r="AJ49" s="341"/>
    </row>
    <row r="50" spans="1:36" ht="18" outlineLevel="1" x14ac:dyDescent="0.2">
      <c r="A50" s="340"/>
      <c r="B50" s="357"/>
      <c r="C50" s="386" t="s">
        <v>144</v>
      </c>
      <c r="D50" s="358"/>
      <c r="E50" s="386">
        <f>SUM(K50:N50)</f>
        <v>0</v>
      </c>
      <c r="F50" s="386"/>
      <c r="G50" s="370"/>
      <c r="H50" s="386">
        <f>+E50*Riesgos!J47</f>
        <v>0</v>
      </c>
      <c r="I50" s="359"/>
      <c r="J50" s="358"/>
      <c r="K50" s="358">
        <f>+Ingresos!T9</f>
        <v>0</v>
      </c>
      <c r="L50" s="358">
        <f>+Ingresos!W9</f>
        <v>0</v>
      </c>
      <c r="M50" s="358">
        <f>+Ingresos!Z9</f>
        <v>0</v>
      </c>
      <c r="N50" s="358">
        <f>+Ingresos!AC9</f>
        <v>0</v>
      </c>
      <c r="O50" s="358"/>
      <c r="P50" s="358"/>
      <c r="Q50" s="358"/>
      <c r="R50" s="363"/>
      <c r="S50" s="341"/>
      <c r="T50" s="341"/>
      <c r="U50" s="341"/>
      <c r="V50" s="341"/>
      <c r="W50" s="341"/>
      <c r="X50" s="341"/>
      <c r="Y50" s="341"/>
      <c r="Z50" s="341"/>
      <c r="AA50" s="341"/>
      <c r="AB50" s="341"/>
      <c r="AC50" s="341"/>
      <c r="AD50" s="341"/>
      <c r="AE50" s="341"/>
      <c r="AF50" s="341"/>
      <c r="AG50" s="341"/>
      <c r="AH50" s="341"/>
      <c r="AI50" s="341"/>
      <c r="AJ50" s="341"/>
    </row>
    <row r="51" spans="1:36" ht="18" outlineLevel="1" x14ac:dyDescent="0.2">
      <c r="A51" s="340"/>
      <c r="B51" s="357"/>
      <c r="C51" s="386"/>
      <c r="D51" s="358"/>
      <c r="E51" s="386"/>
      <c r="F51" s="386"/>
      <c r="G51" s="370"/>
      <c r="H51" s="386"/>
      <c r="I51" s="359"/>
      <c r="J51" s="358"/>
      <c r="K51" s="386"/>
      <c r="L51" s="386"/>
      <c r="M51" s="386"/>
      <c r="N51" s="386"/>
      <c r="O51" s="386"/>
      <c r="P51" s="386"/>
      <c r="Q51" s="386"/>
      <c r="R51" s="363"/>
      <c r="S51" s="341"/>
      <c r="T51" s="341"/>
      <c r="U51" s="341"/>
      <c r="V51" s="341"/>
      <c r="W51" s="341"/>
      <c r="X51" s="341"/>
      <c r="Y51" s="341"/>
      <c r="Z51" s="341"/>
      <c r="AA51" s="341"/>
      <c r="AB51" s="341"/>
      <c r="AC51" s="341"/>
      <c r="AD51" s="341"/>
      <c r="AE51" s="341"/>
      <c r="AF51" s="341"/>
      <c r="AG51" s="341"/>
      <c r="AH51" s="341"/>
      <c r="AI51" s="341"/>
      <c r="AJ51" s="341"/>
    </row>
    <row r="52" spans="1:36" ht="18" outlineLevel="1" x14ac:dyDescent="0.2">
      <c r="A52" s="340"/>
      <c r="B52" s="357"/>
      <c r="C52" s="386" t="s">
        <v>145</v>
      </c>
      <c r="D52" s="358"/>
      <c r="E52" s="386">
        <f>SUM(K52:N52)</f>
        <v>0</v>
      </c>
      <c r="F52" s="386"/>
      <c r="G52" s="370"/>
      <c r="H52" s="386">
        <f>+E52*Riesgos!K47</f>
        <v>0</v>
      </c>
      <c r="I52" s="359"/>
      <c r="J52" s="358"/>
      <c r="K52" s="358">
        <f>+'Reducción Gastos'!T9</f>
        <v>0</v>
      </c>
      <c r="L52" s="358">
        <f>+'Reducción Gastos'!W9</f>
        <v>0</v>
      </c>
      <c r="M52" s="358">
        <f>+'Reducción Gastos'!Z9</f>
        <v>0</v>
      </c>
      <c r="N52" s="358">
        <f>+'Reducción Gastos'!AC9</f>
        <v>0</v>
      </c>
      <c r="O52" s="358"/>
      <c r="P52" s="387"/>
      <c r="Q52" s="358"/>
      <c r="R52" s="363"/>
      <c r="S52" s="341"/>
      <c r="T52" s="341"/>
      <c r="U52" s="341"/>
      <c r="V52" s="341"/>
      <c r="W52" s="341"/>
      <c r="X52" s="341"/>
      <c r="Y52" s="341"/>
      <c r="Z52" s="341"/>
      <c r="AA52" s="341"/>
      <c r="AB52" s="341"/>
      <c r="AC52" s="341"/>
      <c r="AD52" s="341"/>
      <c r="AE52" s="341"/>
      <c r="AF52" s="341"/>
      <c r="AG52" s="341"/>
      <c r="AH52" s="341"/>
      <c r="AI52" s="341"/>
      <c r="AJ52" s="341"/>
    </row>
    <row r="53" spans="1:36" ht="18" outlineLevel="1" x14ac:dyDescent="0.2">
      <c r="A53" s="340"/>
      <c r="B53" s="357"/>
      <c r="C53" s="388"/>
      <c r="D53" s="389"/>
      <c r="E53" s="390"/>
      <c r="F53" s="382"/>
      <c r="G53" s="370"/>
      <c r="H53" s="391"/>
      <c r="I53" s="392"/>
      <c r="J53" s="358"/>
      <c r="K53" s="379"/>
      <c r="L53" s="380"/>
      <c r="M53" s="380"/>
      <c r="N53" s="381"/>
      <c r="O53" s="382"/>
      <c r="P53" s="431"/>
      <c r="Q53" s="432"/>
      <c r="R53" s="363"/>
      <c r="S53" s="341"/>
      <c r="T53" s="341"/>
      <c r="U53" s="341"/>
      <c r="V53" s="341"/>
      <c r="W53" s="341"/>
      <c r="X53" s="341"/>
      <c r="Y53" s="341"/>
      <c r="Z53" s="341"/>
      <c r="AA53" s="341"/>
      <c r="AB53" s="341"/>
      <c r="AC53" s="341"/>
      <c r="AD53" s="341"/>
      <c r="AE53" s="341"/>
      <c r="AF53" s="341"/>
      <c r="AG53" s="341"/>
      <c r="AH53" s="341"/>
      <c r="AI53" s="341"/>
      <c r="AJ53" s="341"/>
    </row>
    <row r="54" spans="1:36" ht="18" outlineLevel="1" x14ac:dyDescent="0.2">
      <c r="A54" s="340"/>
      <c r="B54" s="357"/>
      <c r="C54" s="369" t="s">
        <v>59</v>
      </c>
      <c r="D54" s="358"/>
      <c r="E54" s="395">
        <f>+E50+E52</f>
        <v>0</v>
      </c>
      <c r="F54" s="386"/>
      <c r="G54" s="370"/>
      <c r="H54" s="369">
        <f>+H50+H52</f>
        <v>0</v>
      </c>
      <c r="I54" s="359"/>
      <c r="J54" s="358"/>
      <c r="K54" s="396">
        <f>+K50+K52</f>
        <v>0</v>
      </c>
      <c r="L54" s="396">
        <f>+L50+L52</f>
        <v>0</v>
      </c>
      <c r="M54" s="396">
        <f>+M50+M52</f>
        <v>0</v>
      </c>
      <c r="N54" s="396">
        <f>+N50+N52</f>
        <v>0</v>
      </c>
      <c r="O54" s="358"/>
      <c r="P54" s="358"/>
      <c r="Q54" s="358"/>
      <c r="R54" s="363"/>
      <c r="S54" s="341"/>
      <c r="T54" s="341"/>
      <c r="U54" s="341"/>
      <c r="V54" s="341"/>
      <c r="W54" s="341"/>
      <c r="X54" s="341"/>
      <c r="Y54" s="341"/>
      <c r="Z54" s="341"/>
      <c r="AA54" s="341"/>
      <c r="AB54" s="341"/>
      <c r="AC54" s="341"/>
      <c r="AD54" s="341"/>
      <c r="AE54" s="341"/>
      <c r="AF54" s="341"/>
      <c r="AG54" s="341"/>
      <c r="AH54" s="341"/>
      <c r="AI54" s="341"/>
      <c r="AJ54" s="341"/>
    </row>
    <row r="55" spans="1:36" ht="18" outlineLevel="1" x14ac:dyDescent="0.2">
      <c r="A55" s="340"/>
      <c r="B55" s="357"/>
      <c r="C55" s="397"/>
      <c r="D55" s="398"/>
      <c r="E55" s="399"/>
      <c r="F55" s="400"/>
      <c r="G55" s="401"/>
      <c r="H55" s="402"/>
      <c r="I55" s="359"/>
      <c r="J55" s="358"/>
      <c r="K55" s="403">
        <f>+K54-K48</f>
        <v>0</v>
      </c>
      <c r="L55" s="404">
        <f>+L54-L48</f>
        <v>0</v>
      </c>
      <c r="M55" s="404">
        <f>+M54-M48</f>
        <v>0</v>
      </c>
      <c r="N55" s="405">
        <f>+N54-N48</f>
        <v>0</v>
      </c>
      <c r="O55" s="358"/>
      <c r="P55" s="406"/>
      <c r="Q55" s="407"/>
      <c r="R55" s="363"/>
      <c r="S55" s="340"/>
      <c r="T55" s="341"/>
      <c r="U55" s="341"/>
      <c r="V55" s="341"/>
      <c r="W55" s="341"/>
      <c r="X55" s="341"/>
      <c r="Y55" s="341"/>
      <c r="Z55" s="341"/>
      <c r="AA55" s="341"/>
      <c r="AB55" s="341"/>
      <c r="AC55" s="341"/>
      <c r="AD55" s="341"/>
      <c r="AE55" s="341"/>
      <c r="AF55" s="341"/>
      <c r="AG55" s="341"/>
      <c r="AH55" s="341"/>
      <c r="AI55" s="341"/>
      <c r="AJ55" s="341"/>
    </row>
    <row r="56" spans="1:36" ht="18" x14ac:dyDescent="0.2">
      <c r="A56" s="340"/>
      <c r="B56" s="357"/>
      <c r="C56" s="408" t="s">
        <v>38</v>
      </c>
      <c r="D56" s="358"/>
      <c r="E56" s="409" t="str">
        <f>IF(E48&lt;&gt;0,(+E54-E48)/E48,"---")</f>
        <v>---</v>
      </c>
      <c r="F56" s="358"/>
      <c r="G56" s="410"/>
      <c r="H56" s="411" t="str">
        <f>IF(H48&lt;&gt;0,(+H54-H48)/H48,"---")</f>
        <v>---</v>
      </c>
      <c r="I56" s="412"/>
      <c r="J56" s="358"/>
      <c r="K56" s="413" t="s">
        <v>69</v>
      </c>
      <c r="L56" s="414"/>
      <c r="M56" s="414"/>
      <c r="N56" s="418"/>
      <c r="O56" s="416"/>
      <c r="P56" s="417" t="s">
        <v>77</v>
      </c>
      <c r="Q56" s="433">
        <f>+$Q$19</f>
        <v>0.15</v>
      </c>
      <c r="R56" s="363"/>
      <c r="S56" s="341"/>
      <c r="T56" s="341"/>
      <c r="U56" s="341"/>
      <c r="V56" s="341"/>
      <c r="W56" s="341"/>
      <c r="X56" s="341"/>
      <c r="Y56" s="341"/>
      <c r="Z56" s="341"/>
      <c r="AA56" s="341"/>
      <c r="AB56" s="341"/>
      <c r="AC56" s="341"/>
      <c r="AD56" s="341"/>
      <c r="AE56" s="341"/>
      <c r="AF56" s="341"/>
      <c r="AG56" s="341"/>
      <c r="AH56" s="341"/>
      <c r="AI56" s="341"/>
      <c r="AJ56" s="341"/>
    </row>
    <row r="57" spans="1:36" ht="19" thickBot="1" x14ac:dyDescent="0.25">
      <c r="A57" s="340"/>
      <c r="B57" s="419"/>
      <c r="C57" s="420"/>
      <c r="D57" s="420"/>
      <c r="E57" s="421"/>
      <c r="F57" s="420"/>
      <c r="G57" s="420"/>
      <c r="H57" s="420"/>
      <c r="I57" s="420"/>
      <c r="J57" s="420"/>
      <c r="K57" s="420" t="str">
        <f>IF((SUM($K54:K54)-SUM($K48:K48))&gt;0,K46,"··&gt;")</f>
        <v>··&gt;</v>
      </c>
      <c r="L57" s="420" t="str">
        <f>IF((SUM($K54:L54)-SUM($K48:L48))&gt;0,L46,"··&gt;")</f>
        <v>··&gt;</v>
      </c>
      <c r="M57" s="420" t="str">
        <f>IF((SUM($K54:M54)-SUM($K48:M48))&gt;0,M46,"··&gt;")</f>
        <v>··&gt;</v>
      </c>
      <c r="N57" s="420" t="str">
        <f>IF((SUM($K54:N54)-SUM($K48:N48))&gt;0,N46,"··&gt;")</f>
        <v>··&gt;</v>
      </c>
      <c r="O57" s="420"/>
      <c r="P57" s="434">
        <f>NPV($Q$19,K55:N55)</f>
        <v>0</v>
      </c>
      <c r="Q57" s="420"/>
      <c r="R57" s="422"/>
      <c r="S57" s="341"/>
      <c r="T57" s="341"/>
      <c r="U57" s="341"/>
      <c r="V57" s="341"/>
      <c r="W57" s="341"/>
      <c r="X57" s="341"/>
      <c r="Y57" s="341"/>
      <c r="Z57" s="341"/>
      <c r="AA57" s="341"/>
      <c r="AB57" s="341"/>
      <c r="AC57" s="341"/>
      <c r="AD57" s="341"/>
      <c r="AE57" s="341"/>
      <c r="AF57" s="341"/>
      <c r="AG57" s="341"/>
      <c r="AH57" s="341"/>
      <c r="AI57" s="341"/>
      <c r="AJ57" s="341"/>
    </row>
    <row r="58" spans="1:36" ht="19" thickBot="1" x14ac:dyDescent="0.25">
      <c r="A58" s="340"/>
      <c r="B58" s="353"/>
      <c r="C58" s="354"/>
      <c r="D58" s="355"/>
      <c r="E58" s="355"/>
      <c r="F58" s="355"/>
      <c r="G58" s="355"/>
      <c r="H58" s="355"/>
      <c r="I58" s="355"/>
      <c r="J58" s="355"/>
      <c r="K58" s="355"/>
      <c r="L58" s="355"/>
      <c r="M58" s="355"/>
      <c r="N58" s="355"/>
      <c r="O58" s="355"/>
      <c r="P58" s="355"/>
      <c r="Q58" s="355"/>
      <c r="R58" s="356"/>
      <c r="S58" s="340"/>
      <c r="T58" s="341"/>
      <c r="U58" s="341"/>
      <c r="V58" s="341"/>
      <c r="W58" s="341"/>
      <c r="X58" s="341"/>
      <c r="Y58" s="341"/>
      <c r="Z58" s="341"/>
      <c r="AA58" s="341"/>
      <c r="AB58" s="341"/>
      <c r="AC58" s="341"/>
      <c r="AD58" s="341"/>
      <c r="AE58" s="341"/>
      <c r="AF58" s="341"/>
      <c r="AG58" s="341"/>
      <c r="AH58" s="341"/>
      <c r="AI58" s="341"/>
      <c r="AJ58" s="341"/>
    </row>
    <row r="59" spans="1:36" ht="19" thickBot="1" x14ac:dyDescent="0.25">
      <c r="A59" s="340"/>
      <c r="B59" s="424"/>
      <c r="C59" s="424"/>
      <c r="D59" s="424"/>
      <c r="E59" s="424"/>
      <c r="F59" s="424"/>
      <c r="G59" s="424"/>
      <c r="H59" s="424"/>
      <c r="I59" s="423"/>
      <c r="J59" s="423"/>
      <c r="K59" s="425"/>
      <c r="L59" s="425"/>
      <c r="M59" s="425"/>
      <c r="N59" s="425"/>
      <c r="O59" s="425"/>
      <c r="P59" s="425"/>
      <c r="Q59" s="425"/>
      <c r="R59" s="426"/>
      <c r="S59" s="340"/>
      <c r="T59" s="341"/>
      <c r="U59" s="341"/>
      <c r="V59" s="341"/>
      <c r="W59" s="341"/>
      <c r="X59" s="341"/>
      <c r="Y59" s="341"/>
      <c r="Z59" s="341"/>
      <c r="AA59" s="341"/>
      <c r="AB59" s="341"/>
      <c r="AC59" s="341"/>
      <c r="AD59" s="341"/>
      <c r="AE59" s="341"/>
      <c r="AF59" s="341"/>
      <c r="AG59" s="341"/>
      <c r="AH59" s="341"/>
      <c r="AI59" s="341"/>
      <c r="AJ59" s="341"/>
    </row>
    <row r="60" spans="1:36" ht="18" x14ac:dyDescent="0.2">
      <c r="A60" s="340"/>
      <c r="B60" s="353"/>
      <c r="C60" s="354" t="s">
        <v>68</v>
      </c>
      <c r="D60" s="355"/>
      <c r="E60" s="355" t="str">
        <f>+Definición!C18</f>
        <v>[Nombre ]</v>
      </c>
      <c r="F60" s="355"/>
      <c r="G60" s="355"/>
      <c r="H60" s="355"/>
      <c r="I60" s="355"/>
      <c r="J60" s="355"/>
      <c r="K60" s="355"/>
      <c r="L60" s="355"/>
      <c r="M60" s="355"/>
      <c r="N60" s="355"/>
      <c r="O60" s="355"/>
      <c r="P60" s="355"/>
      <c r="Q60" s="355"/>
      <c r="R60" s="356"/>
      <c r="S60" s="341"/>
      <c r="T60" s="341"/>
      <c r="U60" s="341"/>
      <c r="V60" s="341"/>
      <c r="W60" s="341"/>
      <c r="X60" s="341"/>
      <c r="Y60" s="341"/>
      <c r="Z60" s="341"/>
      <c r="AA60" s="341"/>
      <c r="AB60" s="341"/>
      <c r="AC60" s="341"/>
      <c r="AD60" s="341"/>
      <c r="AE60" s="341"/>
      <c r="AF60" s="341"/>
      <c r="AG60" s="341"/>
      <c r="AH60" s="341"/>
      <c r="AI60" s="341"/>
      <c r="AJ60" s="341"/>
    </row>
    <row r="61" spans="1:36" ht="18" x14ac:dyDescent="0.2">
      <c r="A61" s="340"/>
      <c r="B61" s="357"/>
      <c r="C61" s="358"/>
      <c r="D61" s="358"/>
      <c r="E61" s="358"/>
      <c r="F61" s="359"/>
      <c r="G61" s="360"/>
      <c r="H61" s="361"/>
      <c r="I61" s="362"/>
      <c r="J61" s="358"/>
      <c r="K61" s="358"/>
      <c r="L61" s="358"/>
      <c r="M61" s="358"/>
      <c r="N61" s="358"/>
      <c r="O61" s="358"/>
      <c r="P61" s="358"/>
      <c r="Q61" s="358"/>
      <c r="R61" s="363"/>
      <c r="S61" s="341"/>
      <c r="T61" s="341"/>
      <c r="U61" s="341"/>
      <c r="V61" s="341"/>
      <c r="W61" s="341"/>
      <c r="X61" s="341"/>
      <c r="Y61" s="341"/>
      <c r="Z61" s="341"/>
      <c r="AA61" s="341"/>
      <c r="AB61" s="341"/>
      <c r="AC61" s="341"/>
      <c r="AD61" s="341"/>
      <c r="AE61" s="341"/>
      <c r="AF61" s="341"/>
      <c r="AG61" s="341"/>
      <c r="AH61" s="341"/>
      <c r="AI61" s="341"/>
      <c r="AJ61" s="341"/>
    </row>
    <row r="62" spans="1:36" ht="18" x14ac:dyDescent="0.2">
      <c r="A62" s="340"/>
      <c r="B62" s="357"/>
      <c r="C62" s="358"/>
      <c r="D62" s="358"/>
      <c r="E62" s="364"/>
      <c r="F62" s="365"/>
      <c r="G62" s="366"/>
      <c r="H62" s="364"/>
      <c r="I62" s="359"/>
      <c r="J62" s="358"/>
      <c r="K62" s="364"/>
      <c r="L62" s="364"/>
      <c r="M62" s="364"/>
      <c r="N62" s="364"/>
      <c r="O62" s="364"/>
      <c r="P62" s="367"/>
      <c r="Q62" s="364"/>
      <c r="R62" s="363"/>
      <c r="S62" s="341"/>
      <c r="T62" s="341"/>
      <c r="U62" s="341"/>
      <c r="V62" s="341"/>
      <c r="W62" s="341"/>
      <c r="X62" s="341"/>
      <c r="Y62" s="341"/>
      <c r="Z62" s="341"/>
      <c r="AA62" s="341"/>
      <c r="AB62" s="341"/>
      <c r="AC62" s="341"/>
      <c r="AD62" s="341"/>
      <c r="AE62" s="341"/>
      <c r="AF62" s="341"/>
      <c r="AG62" s="341"/>
      <c r="AH62" s="341"/>
      <c r="AI62" s="341"/>
      <c r="AJ62" s="341"/>
    </row>
    <row r="63" spans="1:36" ht="18" x14ac:dyDescent="0.2">
      <c r="A63" s="340"/>
      <c r="B63" s="357"/>
      <c r="C63" s="368"/>
      <c r="D63" s="358"/>
      <c r="E63" s="369" t="s">
        <v>30</v>
      </c>
      <c r="F63" s="369"/>
      <c r="G63" s="370"/>
      <c r="H63" s="369" t="s">
        <v>78</v>
      </c>
      <c r="I63" s="359"/>
      <c r="J63" s="358"/>
      <c r="K63" s="369" t="s">
        <v>61</v>
      </c>
      <c r="L63" s="369" t="s">
        <v>62</v>
      </c>
      <c r="M63" s="369" t="s">
        <v>63</v>
      </c>
      <c r="N63" s="369" t="s">
        <v>64</v>
      </c>
      <c r="O63" s="369"/>
      <c r="P63" s="371"/>
      <c r="Q63" s="369"/>
      <c r="R63" s="363"/>
      <c r="S63" s="341"/>
      <c r="T63" s="341"/>
      <c r="U63" s="341"/>
      <c r="V63" s="341"/>
      <c r="W63" s="341"/>
      <c r="X63" s="341"/>
      <c r="Y63" s="341"/>
      <c r="Z63" s="341"/>
      <c r="AA63" s="341"/>
      <c r="AB63" s="341"/>
      <c r="AC63" s="341"/>
      <c r="AD63" s="341"/>
      <c r="AE63" s="341"/>
      <c r="AF63" s="341"/>
      <c r="AG63" s="341"/>
      <c r="AH63" s="341"/>
      <c r="AI63" s="341"/>
      <c r="AJ63" s="341"/>
    </row>
    <row r="64" spans="1:36" ht="18" outlineLevel="1" x14ac:dyDescent="0.2">
      <c r="A64" s="340"/>
      <c r="B64" s="357"/>
      <c r="C64" s="372"/>
      <c r="D64" s="373"/>
      <c r="E64" s="374"/>
      <c r="F64" s="375"/>
      <c r="G64" s="376"/>
      <c r="H64" s="377"/>
      <c r="I64" s="378"/>
      <c r="J64" s="358"/>
      <c r="K64" s="379"/>
      <c r="L64" s="380"/>
      <c r="M64" s="380"/>
      <c r="N64" s="381"/>
      <c r="O64" s="382"/>
      <c r="P64" s="383" t="s">
        <v>79</v>
      </c>
      <c r="Q64" s="382"/>
      <c r="R64" s="363"/>
      <c r="S64" s="341"/>
      <c r="T64" s="341"/>
      <c r="U64" s="341"/>
      <c r="V64" s="341"/>
      <c r="W64" s="341"/>
      <c r="X64" s="341"/>
      <c r="Y64" s="341"/>
      <c r="Z64" s="341"/>
      <c r="AA64" s="341"/>
      <c r="AB64" s="341"/>
      <c r="AC64" s="341"/>
      <c r="AD64" s="341"/>
      <c r="AE64" s="341"/>
      <c r="AF64" s="341"/>
      <c r="AG64" s="341"/>
      <c r="AH64" s="341"/>
      <c r="AI64" s="341"/>
      <c r="AJ64" s="341"/>
    </row>
    <row r="65" spans="1:36" ht="18" outlineLevel="1" x14ac:dyDescent="0.2">
      <c r="A65" s="340"/>
      <c r="B65" s="357"/>
      <c r="C65" s="384" t="s">
        <v>4</v>
      </c>
      <c r="D65" s="358"/>
      <c r="E65" s="385">
        <f>SUM(K65:N65)-P65</f>
        <v>0</v>
      </c>
      <c r="F65" s="386"/>
      <c r="G65" s="370"/>
      <c r="H65" s="384">
        <f>+E65*Riesgos!I65</f>
        <v>0</v>
      </c>
      <c r="I65" s="359"/>
      <c r="J65" s="358"/>
      <c r="K65" s="358">
        <f>+'Inversiones y Costes'!AP9</f>
        <v>0</v>
      </c>
      <c r="L65" s="358">
        <f>+'Inversiones y Costes'!AS9</f>
        <v>0</v>
      </c>
      <c r="M65" s="358">
        <f>+'Inversiones y Costes'!AV9</f>
        <v>0</v>
      </c>
      <c r="N65" s="358">
        <f>+'Inversiones y Costes'!AY9</f>
        <v>0</v>
      </c>
      <c r="O65" s="358"/>
      <c r="P65" s="358">
        <f>+'Inversiones y Costes'!BE9</f>
        <v>0</v>
      </c>
      <c r="Q65" s="358"/>
      <c r="R65" s="363"/>
      <c r="S65" s="341"/>
      <c r="T65" s="341"/>
      <c r="U65" s="341"/>
      <c r="V65" s="341"/>
      <c r="W65" s="341"/>
      <c r="X65" s="341"/>
      <c r="Y65" s="341"/>
      <c r="Z65" s="341"/>
      <c r="AA65" s="341"/>
      <c r="AB65" s="341"/>
      <c r="AC65" s="341"/>
      <c r="AD65" s="341"/>
      <c r="AE65" s="341"/>
      <c r="AF65" s="341"/>
      <c r="AG65" s="341"/>
      <c r="AH65" s="341"/>
      <c r="AI65" s="341"/>
      <c r="AJ65" s="341"/>
    </row>
    <row r="66" spans="1:36" ht="18" outlineLevel="1" x14ac:dyDescent="0.2">
      <c r="A66" s="340"/>
      <c r="B66" s="357"/>
      <c r="C66" s="386"/>
      <c r="D66" s="358"/>
      <c r="E66" s="386"/>
      <c r="F66" s="386"/>
      <c r="G66" s="370"/>
      <c r="H66" s="386"/>
      <c r="I66" s="359"/>
      <c r="J66" s="358"/>
      <c r="K66" s="386"/>
      <c r="L66" s="386"/>
      <c r="M66" s="386"/>
      <c r="N66" s="386"/>
      <c r="O66" s="386"/>
      <c r="P66" s="386"/>
      <c r="Q66" s="386"/>
      <c r="R66" s="363"/>
      <c r="S66" s="341"/>
      <c r="T66" s="341"/>
      <c r="U66" s="341"/>
      <c r="V66" s="341"/>
      <c r="W66" s="341"/>
      <c r="X66" s="341"/>
      <c r="Y66" s="341"/>
      <c r="Z66" s="341"/>
      <c r="AA66" s="341"/>
      <c r="AB66" s="341"/>
      <c r="AC66" s="341"/>
      <c r="AD66" s="341"/>
      <c r="AE66" s="341"/>
      <c r="AF66" s="341"/>
      <c r="AG66" s="341"/>
      <c r="AH66" s="341"/>
      <c r="AI66" s="341"/>
      <c r="AJ66" s="341"/>
    </row>
    <row r="67" spans="1:36" ht="18" outlineLevel="1" x14ac:dyDescent="0.2">
      <c r="A67" s="340"/>
      <c r="B67" s="357"/>
      <c r="C67" s="386" t="s">
        <v>144</v>
      </c>
      <c r="D67" s="358"/>
      <c r="E67" s="386">
        <f>SUM(K67:N67)</f>
        <v>0</v>
      </c>
      <c r="F67" s="386"/>
      <c r="G67" s="370"/>
      <c r="H67" s="386">
        <f>+E67*Riesgos!J65</f>
        <v>0</v>
      </c>
      <c r="I67" s="359"/>
      <c r="J67" s="358"/>
      <c r="K67" s="358">
        <f>+Ingresos!AJ9</f>
        <v>0</v>
      </c>
      <c r="L67" s="358">
        <f>+Ingresos!AM9</f>
        <v>0</v>
      </c>
      <c r="M67" s="358">
        <f>+Ingresos!AP9</f>
        <v>0</v>
      </c>
      <c r="N67" s="358">
        <f>+Ingresos!AS9</f>
        <v>0</v>
      </c>
      <c r="O67" s="358"/>
      <c r="P67" s="358"/>
      <c r="Q67" s="358"/>
      <c r="R67" s="363"/>
      <c r="S67" s="341"/>
      <c r="T67" s="341"/>
      <c r="U67" s="341"/>
      <c r="V67" s="341"/>
      <c r="W67" s="341"/>
      <c r="X67" s="341"/>
      <c r="Y67" s="341"/>
      <c r="Z67" s="341"/>
      <c r="AA67" s="341"/>
      <c r="AB67" s="341"/>
      <c r="AC67" s="341"/>
      <c r="AD67" s="341"/>
      <c r="AE67" s="341"/>
      <c r="AF67" s="341"/>
      <c r="AG67" s="341"/>
      <c r="AH67" s="341"/>
      <c r="AI67" s="341"/>
      <c r="AJ67" s="341"/>
    </row>
    <row r="68" spans="1:36" ht="18" outlineLevel="1" x14ac:dyDescent="0.2">
      <c r="A68" s="340"/>
      <c r="B68" s="357"/>
      <c r="C68" s="386"/>
      <c r="D68" s="358"/>
      <c r="E68" s="386"/>
      <c r="F68" s="386"/>
      <c r="G68" s="370"/>
      <c r="H68" s="386"/>
      <c r="I68" s="359"/>
      <c r="J68" s="358"/>
      <c r="K68" s="386"/>
      <c r="L68" s="386"/>
      <c r="M68" s="386"/>
      <c r="N68" s="386"/>
      <c r="O68" s="386"/>
      <c r="P68" s="386"/>
      <c r="Q68" s="386"/>
      <c r="R68" s="363"/>
      <c r="S68" s="341"/>
      <c r="T68" s="341"/>
      <c r="U68" s="341"/>
      <c r="V68" s="341"/>
      <c r="W68" s="341"/>
      <c r="X68" s="341"/>
      <c r="Y68" s="341"/>
      <c r="Z68" s="341"/>
      <c r="AA68" s="341"/>
      <c r="AB68" s="341"/>
      <c r="AC68" s="341"/>
      <c r="AD68" s="341"/>
      <c r="AE68" s="341"/>
      <c r="AF68" s="341"/>
      <c r="AG68" s="341"/>
      <c r="AH68" s="341"/>
      <c r="AI68" s="341"/>
      <c r="AJ68" s="341"/>
    </row>
    <row r="69" spans="1:36" ht="18" outlineLevel="1" x14ac:dyDescent="0.2">
      <c r="A69" s="340"/>
      <c r="B69" s="357"/>
      <c r="C69" s="386" t="s">
        <v>145</v>
      </c>
      <c r="D69" s="358"/>
      <c r="E69" s="386">
        <f>SUM(K69:N69)</f>
        <v>0</v>
      </c>
      <c r="F69" s="386"/>
      <c r="G69" s="370"/>
      <c r="H69" s="386">
        <f>+E69*Riesgos!K65</f>
        <v>0</v>
      </c>
      <c r="I69" s="359"/>
      <c r="J69" s="358"/>
      <c r="K69" s="358">
        <f>+'Reducción Gastos'!AJ9</f>
        <v>0</v>
      </c>
      <c r="L69" s="358">
        <f>+'Reducción Gastos'!AM9</f>
        <v>0</v>
      </c>
      <c r="M69" s="358">
        <f>+'Reducción Gastos'!AP9</f>
        <v>0</v>
      </c>
      <c r="N69" s="358">
        <f>+'Reducción Gastos'!AS9</f>
        <v>0</v>
      </c>
      <c r="O69" s="358"/>
      <c r="P69" s="387"/>
      <c r="Q69" s="358"/>
      <c r="R69" s="363"/>
      <c r="S69" s="341"/>
      <c r="T69" s="341"/>
      <c r="U69" s="341"/>
      <c r="V69" s="341"/>
      <c r="W69" s="341"/>
      <c r="X69" s="341"/>
      <c r="Y69" s="341"/>
      <c r="Z69" s="341"/>
      <c r="AA69" s="341"/>
      <c r="AB69" s="341"/>
      <c r="AC69" s="341"/>
      <c r="AD69" s="341"/>
      <c r="AE69" s="341"/>
      <c r="AF69" s="341"/>
      <c r="AG69" s="341"/>
      <c r="AH69" s="341"/>
      <c r="AI69" s="341"/>
      <c r="AJ69" s="341"/>
    </row>
    <row r="70" spans="1:36" ht="18" outlineLevel="1" x14ac:dyDescent="0.2">
      <c r="A70" s="340"/>
      <c r="B70" s="357"/>
      <c r="C70" s="388"/>
      <c r="D70" s="389"/>
      <c r="E70" s="390"/>
      <c r="F70" s="382"/>
      <c r="G70" s="370"/>
      <c r="H70" s="391"/>
      <c r="I70" s="392"/>
      <c r="J70" s="358"/>
      <c r="K70" s="379"/>
      <c r="L70" s="380"/>
      <c r="M70" s="380"/>
      <c r="N70" s="381"/>
      <c r="O70" s="382"/>
      <c r="P70" s="431"/>
      <c r="Q70" s="432"/>
      <c r="R70" s="363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  <c r="AC70" s="341"/>
      <c r="AD70" s="341"/>
      <c r="AE70" s="341"/>
      <c r="AF70" s="341"/>
      <c r="AG70" s="341"/>
      <c r="AH70" s="341"/>
      <c r="AI70" s="341"/>
      <c r="AJ70" s="341"/>
    </row>
    <row r="71" spans="1:36" ht="18" outlineLevel="1" x14ac:dyDescent="0.2">
      <c r="A71" s="340"/>
      <c r="B71" s="357"/>
      <c r="C71" s="369" t="s">
        <v>59</v>
      </c>
      <c r="D71" s="358"/>
      <c r="E71" s="395">
        <f>+E67+E69</f>
        <v>0</v>
      </c>
      <c r="F71" s="386"/>
      <c r="G71" s="370"/>
      <c r="H71" s="369">
        <f>+H67+H69</f>
        <v>0</v>
      </c>
      <c r="I71" s="359"/>
      <c r="J71" s="358"/>
      <c r="K71" s="396">
        <f>+K67+K69</f>
        <v>0</v>
      </c>
      <c r="L71" s="396">
        <f>+L67+L69</f>
        <v>0</v>
      </c>
      <c r="M71" s="396">
        <f>+M67+M69</f>
        <v>0</v>
      </c>
      <c r="N71" s="396">
        <f>+N67+N69</f>
        <v>0</v>
      </c>
      <c r="O71" s="358"/>
      <c r="P71" s="358"/>
      <c r="Q71" s="358"/>
      <c r="R71" s="363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</row>
    <row r="72" spans="1:36" ht="18" outlineLevel="1" x14ac:dyDescent="0.2">
      <c r="A72" s="340"/>
      <c r="B72" s="357"/>
      <c r="C72" s="397"/>
      <c r="D72" s="398"/>
      <c r="E72" s="399"/>
      <c r="F72" s="400"/>
      <c r="G72" s="401"/>
      <c r="H72" s="402"/>
      <c r="I72" s="359"/>
      <c r="J72" s="358"/>
      <c r="K72" s="403">
        <f>+K71-K65</f>
        <v>0</v>
      </c>
      <c r="L72" s="404">
        <f>+L71-L65</f>
        <v>0</v>
      </c>
      <c r="M72" s="404">
        <f>+M71-M65</f>
        <v>0</v>
      </c>
      <c r="N72" s="405">
        <f>+N71-N65</f>
        <v>0</v>
      </c>
      <c r="O72" s="358"/>
      <c r="P72" s="406"/>
      <c r="Q72" s="407"/>
      <c r="R72" s="363"/>
      <c r="S72" s="340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</row>
    <row r="73" spans="1:36" ht="18" x14ac:dyDescent="0.2">
      <c r="A73" s="340"/>
      <c r="B73" s="357"/>
      <c r="C73" s="408" t="s">
        <v>38</v>
      </c>
      <c r="D73" s="358"/>
      <c r="E73" s="409" t="str">
        <f>IF(E65&lt;&gt;0,(+E71-E65)/E65,"---")</f>
        <v>---</v>
      </c>
      <c r="F73" s="358"/>
      <c r="G73" s="410"/>
      <c r="H73" s="411" t="str">
        <f>IF(H65&lt;&gt;0,(+H71-H65)/H65,"---")</f>
        <v>---</v>
      </c>
      <c r="I73" s="412"/>
      <c r="J73" s="358"/>
      <c r="K73" s="413" t="s">
        <v>69</v>
      </c>
      <c r="L73" s="414"/>
      <c r="M73" s="414"/>
      <c r="N73" s="418"/>
      <c r="O73" s="416"/>
      <c r="P73" s="417" t="s">
        <v>77</v>
      </c>
      <c r="Q73" s="418">
        <f>+$Q$19</f>
        <v>0.15</v>
      </c>
      <c r="R73" s="363"/>
      <c r="S73" s="341"/>
      <c r="T73" s="341"/>
      <c r="U73" s="341"/>
      <c r="V73" s="341"/>
      <c r="W73" s="341"/>
      <c r="X73" s="341"/>
      <c r="Y73" s="341"/>
      <c r="Z73" s="341"/>
      <c r="AA73" s="341"/>
      <c r="AB73" s="341"/>
      <c r="AC73" s="341"/>
      <c r="AD73" s="341"/>
      <c r="AE73" s="341"/>
      <c r="AF73" s="341"/>
      <c r="AG73" s="341"/>
      <c r="AH73" s="341"/>
      <c r="AI73" s="341"/>
      <c r="AJ73" s="341"/>
    </row>
    <row r="74" spans="1:36" ht="19" thickBot="1" x14ac:dyDescent="0.25">
      <c r="A74" s="340"/>
      <c r="B74" s="419"/>
      <c r="C74" s="420"/>
      <c r="D74" s="420"/>
      <c r="E74" s="421"/>
      <c r="F74" s="420"/>
      <c r="G74" s="420"/>
      <c r="H74" s="420"/>
      <c r="I74" s="420"/>
      <c r="J74" s="420"/>
      <c r="K74" s="420" t="str">
        <f>IF((SUM($K71:K71)-SUM($K65:K65))&gt;0,K63,"··&gt;")</f>
        <v>··&gt;</v>
      </c>
      <c r="L74" s="420" t="str">
        <f>IF((SUM($K71:L71)-SUM($K65:L65))&gt;0,L63,"··&gt;")</f>
        <v>··&gt;</v>
      </c>
      <c r="M74" s="420" t="str">
        <f>IF((SUM($K71:M71)-SUM($K65:M65))&gt;0,M63,"··&gt;")</f>
        <v>··&gt;</v>
      </c>
      <c r="N74" s="420" t="str">
        <f>IF((SUM($K71:N71)-SUM($K65:N65))&gt;0,N63,"··&gt;")</f>
        <v>··&gt;</v>
      </c>
      <c r="O74" s="420"/>
      <c r="P74" s="434">
        <f>NPV($Q$19,K72:N72)</f>
        <v>0</v>
      </c>
      <c r="Q74" s="420"/>
      <c r="R74" s="422"/>
      <c r="S74" s="341"/>
      <c r="T74" s="341"/>
      <c r="U74" s="341"/>
      <c r="V74" s="341"/>
      <c r="W74" s="341"/>
      <c r="X74" s="341"/>
      <c r="Y74" s="341"/>
      <c r="Z74" s="341"/>
      <c r="AA74" s="341"/>
      <c r="AB74" s="341"/>
      <c r="AC74" s="341"/>
      <c r="AD74" s="341"/>
      <c r="AE74" s="341"/>
      <c r="AF74" s="341"/>
      <c r="AG74" s="341"/>
      <c r="AH74" s="341"/>
      <c r="AI74" s="341"/>
      <c r="AJ74" s="341"/>
    </row>
    <row r="75" spans="1:36" ht="19" thickBot="1" x14ac:dyDescent="0.25">
      <c r="A75" s="340"/>
      <c r="B75" s="353"/>
      <c r="C75" s="354"/>
      <c r="D75" s="355"/>
      <c r="E75" s="355"/>
      <c r="F75" s="355"/>
      <c r="G75" s="355"/>
      <c r="H75" s="355"/>
      <c r="I75" s="355"/>
      <c r="J75" s="355"/>
      <c r="K75" s="355"/>
      <c r="L75" s="355"/>
      <c r="M75" s="355"/>
      <c r="N75" s="355"/>
      <c r="O75" s="355"/>
      <c r="P75" s="355"/>
      <c r="Q75" s="355"/>
      <c r="R75" s="356"/>
      <c r="S75" s="340"/>
      <c r="T75" s="341"/>
      <c r="U75" s="341"/>
      <c r="V75" s="341"/>
      <c r="W75" s="341"/>
      <c r="X75" s="341"/>
      <c r="Y75" s="341"/>
      <c r="Z75" s="341"/>
      <c r="AA75" s="341"/>
      <c r="AB75" s="341"/>
      <c r="AC75" s="341"/>
      <c r="AD75" s="341"/>
      <c r="AE75" s="341"/>
      <c r="AF75" s="341"/>
      <c r="AG75" s="341"/>
      <c r="AH75" s="341"/>
      <c r="AI75" s="341"/>
      <c r="AJ75" s="341"/>
    </row>
    <row r="76" spans="1:36" ht="19" thickBot="1" x14ac:dyDescent="0.25">
      <c r="A76" s="340"/>
      <c r="B76" s="424"/>
      <c r="C76" s="424"/>
      <c r="D76" s="424"/>
      <c r="E76" s="424"/>
      <c r="F76" s="424"/>
      <c r="G76" s="424"/>
      <c r="H76" s="424"/>
      <c r="I76" s="423"/>
      <c r="J76" s="423"/>
      <c r="K76" s="425"/>
      <c r="L76" s="425"/>
      <c r="M76" s="425"/>
      <c r="N76" s="425"/>
      <c r="O76" s="425"/>
      <c r="P76" s="425"/>
      <c r="Q76" s="425"/>
      <c r="R76" s="426"/>
      <c r="S76" s="340"/>
      <c r="T76" s="341"/>
      <c r="U76" s="341"/>
      <c r="V76" s="341"/>
      <c r="W76" s="341"/>
      <c r="X76" s="341"/>
      <c r="Y76" s="341"/>
      <c r="Z76" s="341"/>
      <c r="AA76" s="341"/>
      <c r="AB76" s="341"/>
      <c r="AC76" s="341"/>
      <c r="AD76" s="341"/>
      <c r="AE76" s="341"/>
      <c r="AF76" s="341"/>
      <c r="AG76" s="341"/>
      <c r="AH76" s="341"/>
      <c r="AI76" s="341"/>
      <c r="AJ76" s="341"/>
    </row>
    <row r="77" spans="1:36" ht="18" x14ac:dyDescent="0.2">
      <c r="A77" s="340"/>
      <c r="B77" s="353"/>
      <c r="C77" s="354" t="s">
        <v>67</v>
      </c>
      <c r="D77" s="355"/>
      <c r="E77" s="355" t="str">
        <f>+Definición!C25</f>
        <v>[Nombre ]</v>
      </c>
      <c r="F77" s="355"/>
      <c r="G77" s="355"/>
      <c r="H77" s="355"/>
      <c r="I77" s="355"/>
      <c r="J77" s="355"/>
      <c r="K77" s="355"/>
      <c r="L77" s="355"/>
      <c r="M77" s="355"/>
      <c r="N77" s="355"/>
      <c r="O77" s="355"/>
      <c r="P77" s="355"/>
      <c r="Q77" s="355"/>
      <c r="R77" s="356"/>
      <c r="S77" s="341"/>
      <c r="T77" s="341"/>
      <c r="U77" s="341"/>
      <c r="V77" s="341"/>
      <c r="W77" s="341"/>
      <c r="X77" s="341"/>
      <c r="Y77" s="341"/>
      <c r="Z77" s="341"/>
      <c r="AA77" s="341"/>
      <c r="AB77" s="341"/>
      <c r="AC77" s="341"/>
      <c r="AD77" s="341"/>
      <c r="AE77" s="341"/>
      <c r="AF77" s="341"/>
      <c r="AG77" s="341"/>
      <c r="AH77" s="341"/>
      <c r="AI77" s="341"/>
      <c r="AJ77" s="341"/>
    </row>
    <row r="78" spans="1:36" ht="18" x14ac:dyDescent="0.2">
      <c r="A78" s="340"/>
      <c r="B78" s="357"/>
      <c r="C78" s="358"/>
      <c r="D78" s="358"/>
      <c r="E78" s="358"/>
      <c r="F78" s="359"/>
      <c r="G78" s="360"/>
      <c r="H78" s="361"/>
      <c r="I78" s="362"/>
      <c r="J78" s="358"/>
      <c r="K78" s="358"/>
      <c r="L78" s="358"/>
      <c r="M78" s="358"/>
      <c r="N78" s="358"/>
      <c r="O78" s="358"/>
      <c r="P78" s="358"/>
      <c r="Q78" s="358"/>
      <c r="R78" s="363"/>
      <c r="S78" s="341"/>
      <c r="T78" s="341"/>
      <c r="U78" s="341"/>
      <c r="V78" s="341"/>
      <c r="W78" s="341"/>
      <c r="X78" s="341"/>
      <c r="Y78" s="341"/>
      <c r="Z78" s="341"/>
      <c r="AA78" s="341"/>
      <c r="AB78" s="341"/>
      <c r="AC78" s="341"/>
      <c r="AD78" s="341"/>
      <c r="AE78" s="341"/>
      <c r="AF78" s="341"/>
      <c r="AG78" s="341"/>
      <c r="AH78" s="341"/>
      <c r="AI78" s="341"/>
      <c r="AJ78" s="341"/>
    </row>
    <row r="79" spans="1:36" ht="18" x14ac:dyDescent="0.2">
      <c r="A79" s="340"/>
      <c r="B79" s="357"/>
      <c r="C79" s="358"/>
      <c r="D79" s="358"/>
      <c r="E79" s="364"/>
      <c r="F79" s="365"/>
      <c r="G79" s="366"/>
      <c r="H79" s="364"/>
      <c r="I79" s="359"/>
      <c r="J79" s="358"/>
      <c r="K79" s="364"/>
      <c r="L79" s="364"/>
      <c r="M79" s="364"/>
      <c r="N79" s="364"/>
      <c r="O79" s="364"/>
      <c r="P79" s="367"/>
      <c r="Q79" s="364"/>
      <c r="R79" s="363"/>
      <c r="S79" s="341"/>
      <c r="T79" s="341"/>
      <c r="U79" s="341"/>
      <c r="V79" s="341"/>
      <c r="W79" s="341"/>
      <c r="X79" s="341"/>
      <c r="Y79" s="341"/>
      <c r="Z79" s="341"/>
      <c r="AA79" s="341"/>
      <c r="AB79" s="341"/>
      <c r="AC79" s="341"/>
      <c r="AD79" s="341"/>
      <c r="AE79" s="341"/>
      <c r="AF79" s="341"/>
      <c r="AG79" s="341"/>
      <c r="AH79" s="341"/>
      <c r="AI79" s="341"/>
      <c r="AJ79" s="341"/>
    </row>
    <row r="80" spans="1:36" ht="18" x14ac:dyDescent="0.2">
      <c r="A80" s="340"/>
      <c r="B80" s="357"/>
      <c r="C80" s="368"/>
      <c r="D80" s="358"/>
      <c r="E80" s="369" t="s">
        <v>30</v>
      </c>
      <c r="F80" s="369"/>
      <c r="G80" s="370"/>
      <c r="H80" s="369" t="s">
        <v>78</v>
      </c>
      <c r="I80" s="359"/>
      <c r="J80" s="358"/>
      <c r="K80" s="369" t="s">
        <v>61</v>
      </c>
      <c r="L80" s="369" t="s">
        <v>62</v>
      </c>
      <c r="M80" s="369" t="s">
        <v>63</v>
      </c>
      <c r="N80" s="369" t="s">
        <v>64</v>
      </c>
      <c r="O80" s="369"/>
      <c r="P80" s="371"/>
      <c r="Q80" s="369"/>
      <c r="R80" s="363"/>
      <c r="S80" s="341"/>
      <c r="T80" s="341"/>
      <c r="U80" s="341"/>
      <c r="V80" s="341"/>
      <c r="W80" s="341"/>
      <c r="X80" s="341"/>
      <c r="Y80" s="341"/>
      <c r="Z80" s="341"/>
      <c r="AA80" s="341"/>
      <c r="AB80" s="341"/>
      <c r="AC80" s="341"/>
      <c r="AD80" s="341"/>
      <c r="AE80" s="341"/>
      <c r="AF80" s="341"/>
      <c r="AG80" s="341"/>
      <c r="AH80" s="341"/>
      <c r="AI80" s="341"/>
      <c r="AJ80" s="341"/>
    </row>
    <row r="81" spans="1:36" ht="18" outlineLevel="1" x14ac:dyDescent="0.2">
      <c r="A81" s="340"/>
      <c r="B81" s="357"/>
      <c r="C81" s="372"/>
      <c r="D81" s="373"/>
      <c r="E81" s="374"/>
      <c r="F81" s="375"/>
      <c r="G81" s="376"/>
      <c r="H81" s="377"/>
      <c r="I81" s="378"/>
      <c r="J81" s="358"/>
      <c r="K81" s="379"/>
      <c r="L81" s="380"/>
      <c r="M81" s="380"/>
      <c r="N81" s="381"/>
      <c r="O81" s="382"/>
      <c r="P81" s="383" t="s">
        <v>79</v>
      </c>
      <c r="Q81" s="382"/>
      <c r="R81" s="363"/>
      <c r="S81" s="341"/>
      <c r="T81" s="341"/>
      <c r="U81" s="341"/>
      <c r="V81" s="341"/>
      <c r="W81" s="341"/>
      <c r="X81" s="341"/>
      <c r="Y81" s="341"/>
      <c r="Z81" s="341"/>
      <c r="AA81" s="341"/>
      <c r="AB81" s="341"/>
      <c r="AC81" s="341"/>
      <c r="AD81" s="341"/>
      <c r="AE81" s="341"/>
      <c r="AF81" s="341"/>
      <c r="AG81" s="341"/>
      <c r="AH81" s="341"/>
      <c r="AI81" s="341"/>
      <c r="AJ81" s="341"/>
    </row>
    <row r="82" spans="1:36" ht="18" outlineLevel="1" x14ac:dyDescent="0.2">
      <c r="A82" s="340"/>
      <c r="B82" s="357"/>
      <c r="C82" s="384" t="s">
        <v>4</v>
      </c>
      <c r="D82" s="358"/>
      <c r="E82" s="385">
        <f>SUM(K82:N82)-P82</f>
        <v>0</v>
      </c>
      <c r="F82" s="386"/>
      <c r="G82" s="370"/>
      <c r="H82" s="384">
        <f>+E82*Riesgos!I83</f>
        <v>0</v>
      </c>
      <c r="I82" s="359"/>
      <c r="J82" s="358"/>
      <c r="K82" s="358">
        <f>+'Inversiones y Costes'!BI9</f>
        <v>0</v>
      </c>
      <c r="L82" s="358">
        <f>+'Inversiones y Costes'!BL9</f>
        <v>0</v>
      </c>
      <c r="M82" s="358">
        <f>+'Inversiones y Costes'!BO9</f>
        <v>0</v>
      </c>
      <c r="N82" s="358">
        <f>+'Inversiones y Costes'!BR9</f>
        <v>0</v>
      </c>
      <c r="O82" s="358"/>
      <c r="P82" s="358">
        <f>+'Inversiones y Costes'!BX9</f>
        <v>0</v>
      </c>
      <c r="Q82" s="358"/>
      <c r="R82" s="363"/>
      <c r="S82" s="341"/>
      <c r="T82" s="341"/>
      <c r="U82" s="341"/>
      <c r="V82" s="341"/>
      <c r="W82" s="341"/>
      <c r="X82" s="341"/>
      <c r="Y82" s="341"/>
      <c r="Z82" s="341"/>
      <c r="AA82" s="341"/>
      <c r="AB82" s="341"/>
      <c r="AC82" s="341"/>
      <c r="AD82" s="341"/>
      <c r="AE82" s="341"/>
      <c r="AF82" s="341"/>
      <c r="AG82" s="341"/>
      <c r="AH82" s="341"/>
      <c r="AI82" s="341"/>
      <c r="AJ82" s="341"/>
    </row>
    <row r="83" spans="1:36" ht="18" outlineLevel="1" x14ac:dyDescent="0.2">
      <c r="A83" s="340"/>
      <c r="B83" s="357"/>
      <c r="C83" s="386"/>
      <c r="D83" s="358"/>
      <c r="E83" s="386"/>
      <c r="F83" s="386"/>
      <c r="G83" s="370"/>
      <c r="H83" s="386"/>
      <c r="I83" s="359"/>
      <c r="J83" s="358"/>
      <c r="K83" s="386"/>
      <c r="L83" s="386"/>
      <c r="M83" s="386"/>
      <c r="N83" s="386"/>
      <c r="O83" s="386"/>
      <c r="P83" s="386"/>
      <c r="Q83" s="386"/>
      <c r="R83" s="363"/>
      <c r="S83" s="341"/>
      <c r="T83" s="341"/>
      <c r="U83" s="341"/>
      <c r="V83" s="341"/>
      <c r="W83" s="341"/>
      <c r="X83" s="341"/>
      <c r="Y83" s="341"/>
      <c r="Z83" s="341"/>
      <c r="AA83" s="341"/>
      <c r="AB83" s="341"/>
      <c r="AC83" s="341"/>
      <c r="AD83" s="341"/>
      <c r="AE83" s="341"/>
      <c r="AF83" s="341"/>
      <c r="AG83" s="341"/>
      <c r="AH83" s="341"/>
      <c r="AI83" s="341"/>
      <c r="AJ83" s="341"/>
    </row>
    <row r="84" spans="1:36" ht="18" outlineLevel="1" x14ac:dyDescent="0.2">
      <c r="A84" s="340"/>
      <c r="B84" s="357"/>
      <c r="C84" s="386" t="s">
        <v>144</v>
      </c>
      <c r="D84" s="358"/>
      <c r="E84" s="386">
        <f>SUM(K84:N84)</f>
        <v>0</v>
      </c>
      <c r="F84" s="386"/>
      <c r="G84" s="370"/>
      <c r="H84" s="386">
        <f>+E84*Riesgos!J83</f>
        <v>0</v>
      </c>
      <c r="I84" s="359"/>
      <c r="J84" s="358"/>
      <c r="K84" s="358">
        <f>+Ingresos!AZ9</f>
        <v>0</v>
      </c>
      <c r="L84" s="358">
        <f>+Ingresos!BC9</f>
        <v>0</v>
      </c>
      <c r="M84" s="358">
        <f>+Ingresos!BF9</f>
        <v>0</v>
      </c>
      <c r="N84" s="358">
        <f>+Ingresos!BI9</f>
        <v>0</v>
      </c>
      <c r="O84" s="358"/>
      <c r="P84" s="358"/>
      <c r="Q84" s="358"/>
      <c r="R84" s="363"/>
      <c r="S84" s="341"/>
      <c r="T84" s="341"/>
      <c r="U84" s="341"/>
      <c r="V84" s="341"/>
      <c r="W84" s="341"/>
      <c r="X84" s="341"/>
      <c r="Y84" s="341"/>
      <c r="Z84" s="341"/>
      <c r="AA84" s="341"/>
      <c r="AB84" s="341"/>
      <c r="AC84" s="341"/>
      <c r="AD84" s="341"/>
      <c r="AE84" s="341"/>
      <c r="AF84" s="341"/>
      <c r="AG84" s="341"/>
      <c r="AH84" s="341"/>
      <c r="AI84" s="341"/>
      <c r="AJ84" s="341"/>
    </row>
    <row r="85" spans="1:36" ht="18" outlineLevel="1" x14ac:dyDescent="0.2">
      <c r="A85" s="340"/>
      <c r="B85" s="357"/>
      <c r="C85" s="386"/>
      <c r="D85" s="358"/>
      <c r="E85" s="386"/>
      <c r="F85" s="386"/>
      <c r="G85" s="370"/>
      <c r="H85" s="386"/>
      <c r="I85" s="359"/>
      <c r="J85" s="358"/>
      <c r="K85" s="386"/>
      <c r="L85" s="386"/>
      <c r="M85" s="386"/>
      <c r="N85" s="386"/>
      <c r="O85" s="386"/>
      <c r="P85" s="386"/>
      <c r="Q85" s="386"/>
      <c r="R85" s="363"/>
      <c r="S85" s="341"/>
      <c r="T85" s="341"/>
      <c r="U85" s="341"/>
      <c r="V85" s="341"/>
      <c r="W85" s="341"/>
      <c r="X85" s="341"/>
      <c r="Y85" s="341"/>
      <c r="Z85" s="341"/>
      <c r="AA85" s="341"/>
      <c r="AB85" s="341"/>
      <c r="AC85" s="341"/>
      <c r="AD85" s="341"/>
      <c r="AE85" s="341"/>
      <c r="AF85" s="341"/>
      <c r="AG85" s="341"/>
      <c r="AH85" s="341"/>
      <c r="AI85" s="341"/>
      <c r="AJ85" s="341"/>
    </row>
    <row r="86" spans="1:36" ht="18" outlineLevel="1" x14ac:dyDescent="0.2">
      <c r="A86" s="340"/>
      <c r="B86" s="357"/>
      <c r="C86" s="386" t="s">
        <v>145</v>
      </c>
      <c r="D86" s="358"/>
      <c r="E86" s="386">
        <f>SUM(K86:N86)</f>
        <v>0</v>
      </c>
      <c r="F86" s="386"/>
      <c r="G86" s="370"/>
      <c r="H86" s="386">
        <f>+E86*Riesgos!K83</f>
        <v>0</v>
      </c>
      <c r="I86" s="359"/>
      <c r="J86" s="358"/>
      <c r="K86" s="358">
        <f>+'Reducción Gastos'!AZ9</f>
        <v>0</v>
      </c>
      <c r="L86" s="358">
        <f>+'Reducción Gastos'!BC9</f>
        <v>0</v>
      </c>
      <c r="M86" s="358">
        <f>+'Reducción Gastos'!BF9</f>
        <v>0</v>
      </c>
      <c r="N86" s="358">
        <f>+'Reducción Gastos'!BI9</f>
        <v>0</v>
      </c>
      <c r="O86" s="358"/>
      <c r="P86" s="387"/>
      <c r="Q86" s="358"/>
      <c r="R86" s="363"/>
      <c r="S86" s="341"/>
      <c r="T86" s="341"/>
      <c r="U86" s="341"/>
      <c r="V86" s="341"/>
      <c r="W86" s="341"/>
      <c r="X86" s="341"/>
      <c r="Y86" s="341"/>
      <c r="Z86" s="341"/>
      <c r="AA86" s="341"/>
      <c r="AB86" s="341"/>
      <c r="AC86" s="341"/>
      <c r="AD86" s="341"/>
      <c r="AE86" s="341"/>
      <c r="AF86" s="341"/>
      <c r="AG86" s="341"/>
      <c r="AH86" s="341"/>
      <c r="AI86" s="341"/>
      <c r="AJ86" s="341"/>
    </row>
    <row r="87" spans="1:36" ht="18" outlineLevel="1" x14ac:dyDescent="0.2">
      <c r="A87" s="340"/>
      <c r="B87" s="357"/>
      <c r="C87" s="388"/>
      <c r="D87" s="389"/>
      <c r="E87" s="390"/>
      <c r="F87" s="382"/>
      <c r="G87" s="370"/>
      <c r="H87" s="391"/>
      <c r="I87" s="392"/>
      <c r="J87" s="358"/>
      <c r="K87" s="379"/>
      <c r="L87" s="380"/>
      <c r="M87" s="380"/>
      <c r="N87" s="381"/>
      <c r="O87" s="382"/>
      <c r="P87" s="431"/>
      <c r="Q87" s="432"/>
      <c r="R87" s="363"/>
      <c r="S87" s="341"/>
      <c r="T87" s="341"/>
      <c r="U87" s="341"/>
      <c r="V87" s="341"/>
      <c r="W87" s="341"/>
      <c r="X87" s="341"/>
      <c r="Y87" s="341"/>
      <c r="Z87" s="341"/>
      <c r="AA87" s="341"/>
      <c r="AB87" s="341"/>
      <c r="AC87" s="341"/>
      <c r="AD87" s="341"/>
      <c r="AE87" s="341"/>
      <c r="AF87" s="341"/>
      <c r="AG87" s="341"/>
      <c r="AH87" s="341"/>
      <c r="AI87" s="341"/>
      <c r="AJ87" s="341"/>
    </row>
    <row r="88" spans="1:36" ht="18" outlineLevel="1" x14ac:dyDescent="0.2">
      <c r="A88" s="340"/>
      <c r="B88" s="357"/>
      <c r="C88" s="369" t="s">
        <v>59</v>
      </c>
      <c r="D88" s="358"/>
      <c r="E88" s="395">
        <f>+E84+E86</f>
        <v>0</v>
      </c>
      <c r="F88" s="386"/>
      <c r="G88" s="370"/>
      <c r="H88" s="369">
        <f>+H84+H86</f>
        <v>0</v>
      </c>
      <c r="I88" s="359"/>
      <c r="J88" s="358"/>
      <c r="K88" s="396">
        <f>+K84+K86</f>
        <v>0</v>
      </c>
      <c r="L88" s="396">
        <f>+L84+L86</f>
        <v>0</v>
      </c>
      <c r="M88" s="396">
        <f>+M84+M86</f>
        <v>0</v>
      </c>
      <c r="N88" s="396">
        <f>+N84+N86</f>
        <v>0</v>
      </c>
      <c r="O88" s="358"/>
      <c r="P88" s="358"/>
      <c r="Q88" s="358"/>
      <c r="R88" s="363"/>
      <c r="S88" s="341"/>
      <c r="T88" s="341"/>
      <c r="U88" s="341"/>
      <c r="V88" s="341"/>
      <c r="W88" s="341"/>
      <c r="X88" s="341"/>
      <c r="Y88" s="341"/>
      <c r="Z88" s="341"/>
      <c r="AA88" s="341"/>
      <c r="AB88" s="341"/>
      <c r="AC88" s="341"/>
      <c r="AD88" s="341"/>
      <c r="AE88" s="341"/>
      <c r="AF88" s="341"/>
      <c r="AG88" s="341"/>
      <c r="AH88" s="341"/>
      <c r="AI88" s="341"/>
      <c r="AJ88" s="341"/>
    </row>
    <row r="89" spans="1:36" ht="18" outlineLevel="1" x14ac:dyDescent="0.2">
      <c r="A89" s="340"/>
      <c r="B89" s="357"/>
      <c r="C89" s="397"/>
      <c r="D89" s="398"/>
      <c r="E89" s="399"/>
      <c r="F89" s="400"/>
      <c r="G89" s="401"/>
      <c r="H89" s="402"/>
      <c r="I89" s="359"/>
      <c r="J89" s="358"/>
      <c r="K89" s="403">
        <f>+K88-K82</f>
        <v>0</v>
      </c>
      <c r="L89" s="404">
        <f>+L88-L82</f>
        <v>0</v>
      </c>
      <c r="M89" s="404">
        <f>+M88-M82</f>
        <v>0</v>
      </c>
      <c r="N89" s="405">
        <f>+N88-N82</f>
        <v>0</v>
      </c>
      <c r="O89" s="358"/>
      <c r="P89" s="406"/>
      <c r="Q89" s="407"/>
      <c r="R89" s="363"/>
      <c r="S89" s="340"/>
      <c r="T89" s="341"/>
      <c r="U89" s="341"/>
      <c r="V89" s="341"/>
      <c r="W89" s="341"/>
      <c r="X89" s="341"/>
      <c r="Y89" s="341"/>
      <c r="Z89" s="341"/>
      <c r="AA89" s="341"/>
      <c r="AB89" s="341"/>
      <c r="AC89" s="341"/>
      <c r="AD89" s="341"/>
      <c r="AE89" s="341"/>
      <c r="AF89" s="341"/>
      <c r="AG89" s="341"/>
      <c r="AH89" s="341"/>
      <c r="AI89" s="341"/>
      <c r="AJ89" s="341"/>
    </row>
    <row r="90" spans="1:36" ht="18" x14ac:dyDescent="0.2">
      <c r="A90" s="340"/>
      <c r="B90" s="357"/>
      <c r="C90" s="408" t="s">
        <v>38</v>
      </c>
      <c r="D90" s="358"/>
      <c r="E90" s="409" t="str">
        <f>IF(E82&lt;&gt;0,(+E88-E82)/E82,"---")</f>
        <v>---</v>
      </c>
      <c r="F90" s="358"/>
      <c r="G90" s="410"/>
      <c r="H90" s="411" t="str">
        <f>IF(H82&lt;&gt;0,(+H88-H82)/H82,"---")</f>
        <v>---</v>
      </c>
      <c r="I90" s="412"/>
      <c r="J90" s="358"/>
      <c r="K90" s="413" t="s">
        <v>69</v>
      </c>
      <c r="L90" s="414"/>
      <c r="M90" s="414"/>
      <c r="N90" s="418"/>
      <c r="O90" s="416"/>
      <c r="P90" s="417" t="s">
        <v>77</v>
      </c>
      <c r="Q90" s="418">
        <f>+$Q$19</f>
        <v>0.15</v>
      </c>
      <c r="R90" s="363"/>
      <c r="S90" s="341"/>
      <c r="T90" s="341"/>
      <c r="U90" s="341"/>
      <c r="V90" s="341"/>
      <c r="W90" s="341"/>
      <c r="X90" s="341"/>
      <c r="Y90" s="341"/>
      <c r="Z90" s="341"/>
      <c r="AA90" s="341"/>
      <c r="AB90" s="341"/>
      <c r="AC90" s="341"/>
      <c r="AD90" s="341"/>
      <c r="AE90" s="341"/>
      <c r="AF90" s="341"/>
      <c r="AG90" s="341"/>
      <c r="AH90" s="341"/>
      <c r="AI90" s="341"/>
      <c r="AJ90" s="341"/>
    </row>
    <row r="91" spans="1:36" ht="19" thickBot="1" x14ac:dyDescent="0.25">
      <c r="A91" s="340"/>
      <c r="B91" s="419"/>
      <c r="C91" s="420"/>
      <c r="D91" s="420"/>
      <c r="E91" s="421"/>
      <c r="F91" s="420"/>
      <c r="G91" s="420"/>
      <c r="H91" s="420"/>
      <c r="I91" s="420"/>
      <c r="J91" s="420"/>
      <c r="K91" s="420" t="str">
        <f>IF((SUM($K88:K88)-SUM($K82:K82))&gt;0,K80,"··&gt;")</f>
        <v>··&gt;</v>
      </c>
      <c r="L91" s="420" t="str">
        <f>IF((SUM($K88:L88)-SUM($K82:L82))&gt;0,L80,"··&gt;")</f>
        <v>··&gt;</v>
      </c>
      <c r="M91" s="420" t="str">
        <f>IF((SUM($K88:M88)-SUM($K82:M82))&gt;0,M80,"··&gt;")</f>
        <v>··&gt;</v>
      </c>
      <c r="N91" s="420" t="str">
        <f>IF((SUM($K88:N88)-SUM($K82:N82))&gt;0,N80,"··&gt;")</f>
        <v>··&gt;</v>
      </c>
      <c r="O91" s="420"/>
      <c r="P91" s="434">
        <f>NPV($Q$19,K89:N89)</f>
        <v>0</v>
      </c>
      <c r="Q91" s="420"/>
      <c r="R91" s="422"/>
      <c r="S91" s="341"/>
      <c r="T91" s="341"/>
      <c r="U91" s="341"/>
      <c r="V91" s="341"/>
      <c r="W91" s="341"/>
      <c r="X91" s="341"/>
      <c r="Y91" s="341"/>
      <c r="Z91" s="341"/>
      <c r="AA91" s="341"/>
      <c r="AB91" s="341"/>
      <c r="AC91" s="341"/>
      <c r="AD91" s="341"/>
      <c r="AE91" s="341"/>
      <c r="AF91" s="341"/>
      <c r="AG91" s="341"/>
      <c r="AH91" s="341"/>
      <c r="AI91" s="341"/>
      <c r="AJ91" s="341"/>
    </row>
    <row r="92" spans="1:36" ht="19" thickBot="1" x14ac:dyDescent="0.25">
      <c r="A92" s="340"/>
      <c r="B92" s="353"/>
      <c r="C92" s="354"/>
      <c r="D92" s="355"/>
      <c r="E92" s="355"/>
      <c r="F92" s="355"/>
      <c r="G92" s="355"/>
      <c r="H92" s="355"/>
      <c r="I92" s="355"/>
      <c r="J92" s="355"/>
      <c r="K92" s="355"/>
      <c r="L92" s="355"/>
      <c r="M92" s="355"/>
      <c r="N92" s="355"/>
      <c r="O92" s="355"/>
      <c r="P92" s="355"/>
      <c r="Q92" s="355"/>
      <c r="R92" s="356"/>
      <c r="S92" s="340"/>
      <c r="T92" s="341"/>
      <c r="U92" s="341"/>
      <c r="V92" s="341"/>
      <c r="W92" s="341"/>
      <c r="X92" s="341"/>
      <c r="Y92" s="341"/>
      <c r="Z92" s="341"/>
      <c r="AA92" s="341"/>
      <c r="AB92" s="341"/>
      <c r="AC92" s="341"/>
      <c r="AD92" s="341"/>
      <c r="AE92" s="341"/>
      <c r="AF92" s="341"/>
      <c r="AG92" s="341"/>
      <c r="AH92" s="341"/>
      <c r="AI92" s="341"/>
      <c r="AJ92" s="341"/>
    </row>
    <row r="93" spans="1:36" x14ac:dyDescent="0.15">
      <c r="A93" s="337"/>
      <c r="B93" s="337"/>
      <c r="C93" s="337"/>
      <c r="D93" s="337"/>
      <c r="E93" s="337"/>
      <c r="F93" s="337"/>
      <c r="G93" s="337"/>
      <c r="H93" s="337"/>
      <c r="I93" s="337"/>
      <c r="J93" s="337"/>
      <c r="K93" s="337"/>
      <c r="L93" s="337"/>
      <c r="M93" s="337"/>
      <c r="N93" s="343"/>
      <c r="O93" s="343"/>
      <c r="P93" s="343"/>
      <c r="Q93" s="343"/>
      <c r="R93" s="342"/>
      <c r="S93" s="340"/>
      <c r="T93" s="341"/>
      <c r="U93" s="341"/>
      <c r="V93" s="341"/>
      <c r="W93" s="341"/>
      <c r="X93" s="341"/>
      <c r="Y93" s="341"/>
      <c r="Z93" s="341"/>
      <c r="AA93" s="341"/>
      <c r="AB93" s="341"/>
      <c r="AC93" s="341"/>
      <c r="AD93" s="341"/>
      <c r="AE93" s="341"/>
      <c r="AF93" s="341"/>
      <c r="AG93" s="341"/>
      <c r="AH93" s="341"/>
      <c r="AI93" s="341"/>
      <c r="AJ93" s="341"/>
    </row>
    <row r="94" spans="1:36" x14ac:dyDescent="0.15">
      <c r="A94" s="337"/>
      <c r="B94" s="337"/>
      <c r="C94" s="337"/>
      <c r="D94" s="337"/>
      <c r="E94" s="337"/>
      <c r="F94" s="337"/>
      <c r="G94" s="337"/>
      <c r="H94" s="337"/>
      <c r="I94" s="337"/>
      <c r="J94" s="337"/>
      <c r="K94" s="337"/>
      <c r="L94" s="337"/>
      <c r="M94" s="337"/>
      <c r="N94" s="337"/>
      <c r="O94" s="337"/>
      <c r="P94" s="337"/>
      <c r="Q94" s="337"/>
      <c r="R94" s="341"/>
      <c r="S94" s="341"/>
      <c r="T94" s="341"/>
      <c r="U94" s="341"/>
      <c r="V94" s="341"/>
      <c r="W94" s="341"/>
      <c r="X94" s="341"/>
      <c r="Y94" s="341"/>
      <c r="Z94" s="341"/>
      <c r="AA94" s="341"/>
      <c r="AB94" s="341"/>
      <c r="AC94" s="341"/>
      <c r="AD94" s="341"/>
      <c r="AE94" s="341"/>
      <c r="AF94" s="341"/>
      <c r="AG94" s="341"/>
      <c r="AH94" s="341"/>
      <c r="AI94" s="341"/>
      <c r="AJ94" s="341"/>
    </row>
    <row r="95" spans="1:36" x14ac:dyDescent="0.15">
      <c r="A95" s="337"/>
      <c r="B95" s="337"/>
      <c r="C95" s="337"/>
      <c r="D95" s="337"/>
      <c r="E95" s="337"/>
      <c r="F95" s="337"/>
      <c r="G95" s="337"/>
      <c r="H95" s="337"/>
      <c r="I95" s="337"/>
      <c r="J95" s="337"/>
      <c r="K95" s="337"/>
      <c r="L95" s="337"/>
      <c r="M95" s="337"/>
      <c r="N95" s="337"/>
      <c r="O95" s="337"/>
      <c r="P95" s="337"/>
      <c r="Q95" s="337"/>
      <c r="R95" s="341"/>
      <c r="S95" s="341"/>
      <c r="T95" s="341"/>
      <c r="U95" s="341"/>
      <c r="V95" s="341"/>
      <c r="W95" s="341"/>
      <c r="X95" s="341"/>
      <c r="Y95" s="341"/>
      <c r="Z95" s="341"/>
      <c r="AA95" s="341"/>
      <c r="AB95" s="341"/>
      <c r="AC95" s="341"/>
      <c r="AD95" s="341"/>
      <c r="AE95" s="341"/>
      <c r="AF95" s="341"/>
      <c r="AG95" s="341"/>
      <c r="AH95" s="341"/>
      <c r="AI95" s="341"/>
      <c r="AJ95" s="341"/>
    </row>
    <row r="96" spans="1:36" x14ac:dyDescent="0.15">
      <c r="A96" s="337"/>
      <c r="B96" s="337"/>
      <c r="C96" s="337"/>
      <c r="D96" s="337"/>
      <c r="E96" s="337"/>
      <c r="F96" s="337"/>
      <c r="G96" s="337"/>
      <c r="H96" s="337"/>
      <c r="I96" s="337"/>
      <c r="J96" s="337"/>
      <c r="K96" s="337"/>
      <c r="L96" s="337"/>
      <c r="M96" s="337"/>
      <c r="N96" s="337"/>
      <c r="O96" s="337"/>
      <c r="P96" s="337"/>
      <c r="Q96" s="337"/>
      <c r="R96" s="341"/>
      <c r="S96" s="341"/>
      <c r="T96" s="341"/>
      <c r="U96" s="341"/>
      <c r="V96" s="341"/>
      <c r="W96" s="341"/>
      <c r="X96" s="341"/>
      <c r="Y96" s="341"/>
      <c r="Z96" s="341"/>
      <c r="AA96" s="341"/>
      <c r="AB96" s="341"/>
      <c r="AC96" s="341"/>
      <c r="AD96" s="341"/>
      <c r="AE96" s="341"/>
      <c r="AF96" s="341"/>
      <c r="AG96" s="341"/>
      <c r="AH96" s="341"/>
      <c r="AI96" s="341"/>
      <c r="AJ96" s="341"/>
    </row>
    <row r="97" spans="1:36" x14ac:dyDescent="0.15">
      <c r="A97" s="337"/>
      <c r="B97" s="337"/>
      <c r="C97" s="337"/>
      <c r="D97" s="337"/>
      <c r="E97" s="337"/>
      <c r="F97" s="337"/>
      <c r="G97" s="337"/>
      <c r="H97" s="337"/>
      <c r="I97" s="337"/>
      <c r="J97" s="337"/>
      <c r="K97" s="337"/>
      <c r="L97" s="337"/>
      <c r="M97" s="337"/>
      <c r="N97" s="337"/>
      <c r="O97" s="337"/>
      <c r="P97" s="337"/>
      <c r="Q97" s="337"/>
      <c r="R97" s="341"/>
      <c r="S97" s="341"/>
      <c r="T97" s="341"/>
      <c r="U97" s="341"/>
      <c r="V97" s="341"/>
      <c r="W97" s="341"/>
      <c r="X97" s="341"/>
      <c r="Y97" s="341"/>
      <c r="Z97" s="341"/>
      <c r="AA97" s="341"/>
      <c r="AB97" s="341"/>
      <c r="AC97" s="341"/>
      <c r="AD97" s="341"/>
      <c r="AE97" s="341"/>
      <c r="AF97" s="341"/>
      <c r="AG97" s="341"/>
      <c r="AH97" s="341"/>
      <c r="AI97" s="341"/>
      <c r="AJ97" s="341"/>
    </row>
    <row r="98" spans="1:36" x14ac:dyDescent="0.15">
      <c r="A98" s="337"/>
      <c r="B98" s="337"/>
      <c r="C98" s="337"/>
      <c r="D98" s="337"/>
      <c r="E98" s="337"/>
      <c r="F98" s="337"/>
      <c r="G98" s="337"/>
      <c r="H98" s="337"/>
      <c r="I98" s="337"/>
      <c r="J98" s="337"/>
      <c r="K98" s="337"/>
      <c r="L98" s="337"/>
      <c r="M98" s="337"/>
      <c r="N98" s="337"/>
      <c r="O98" s="337"/>
      <c r="P98" s="337"/>
      <c r="Q98" s="337"/>
      <c r="R98" s="341"/>
      <c r="S98" s="341"/>
      <c r="T98" s="341"/>
      <c r="U98" s="341"/>
      <c r="V98" s="341"/>
      <c r="W98" s="341"/>
      <c r="X98" s="341"/>
      <c r="Y98" s="341"/>
      <c r="Z98" s="341"/>
      <c r="AA98" s="341"/>
      <c r="AB98" s="341"/>
      <c r="AC98" s="341"/>
      <c r="AD98" s="341"/>
      <c r="AE98" s="341"/>
      <c r="AF98" s="341"/>
      <c r="AG98" s="341"/>
      <c r="AH98" s="341"/>
      <c r="AI98" s="341"/>
      <c r="AJ98" s="341"/>
    </row>
    <row r="99" spans="1:36" x14ac:dyDescent="0.15">
      <c r="A99" s="337"/>
      <c r="B99" s="337"/>
      <c r="C99" s="337"/>
      <c r="D99" s="337"/>
      <c r="E99" s="337"/>
      <c r="F99" s="337"/>
      <c r="G99" s="337"/>
      <c r="H99" s="337"/>
      <c r="I99" s="337"/>
      <c r="J99" s="337"/>
      <c r="K99" s="337"/>
      <c r="L99" s="337"/>
      <c r="M99" s="337"/>
      <c r="N99" s="337"/>
      <c r="O99" s="337"/>
      <c r="P99" s="337"/>
      <c r="Q99" s="337"/>
      <c r="R99" s="341"/>
      <c r="S99" s="341"/>
      <c r="T99" s="341"/>
      <c r="U99" s="341"/>
      <c r="V99" s="341"/>
      <c r="W99" s="341"/>
      <c r="X99" s="341"/>
      <c r="Y99" s="341"/>
      <c r="Z99" s="341"/>
      <c r="AA99" s="341"/>
      <c r="AB99" s="341"/>
      <c r="AC99" s="341"/>
      <c r="AD99" s="341"/>
      <c r="AE99" s="341"/>
      <c r="AF99" s="341"/>
      <c r="AG99" s="341"/>
      <c r="AH99" s="341"/>
      <c r="AI99" s="341"/>
      <c r="AJ99" s="341"/>
    </row>
    <row r="100" spans="1:36" x14ac:dyDescent="0.15">
      <c r="A100" s="337"/>
      <c r="B100" s="337"/>
      <c r="C100" s="337"/>
      <c r="D100" s="337"/>
      <c r="E100" s="337"/>
      <c r="F100" s="337"/>
      <c r="G100" s="337"/>
      <c r="H100" s="337"/>
      <c r="I100" s="337"/>
      <c r="J100" s="337"/>
      <c r="K100" s="337"/>
      <c r="L100" s="337"/>
      <c r="M100" s="337"/>
      <c r="N100" s="337"/>
      <c r="O100" s="337"/>
      <c r="P100" s="337"/>
      <c r="Q100" s="337"/>
      <c r="R100" s="341"/>
      <c r="S100" s="341"/>
      <c r="T100" s="341"/>
      <c r="U100" s="341"/>
      <c r="V100" s="341"/>
      <c r="W100" s="341"/>
      <c r="X100" s="341"/>
      <c r="Y100" s="341"/>
      <c r="Z100" s="341"/>
      <c r="AA100" s="341"/>
      <c r="AB100" s="341"/>
      <c r="AC100" s="341"/>
      <c r="AD100" s="341"/>
      <c r="AE100" s="341"/>
      <c r="AF100" s="341"/>
      <c r="AG100" s="341"/>
      <c r="AH100" s="341"/>
      <c r="AI100" s="341"/>
      <c r="AJ100" s="341"/>
    </row>
    <row r="101" spans="1:36" x14ac:dyDescent="0.15">
      <c r="A101" s="337"/>
      <c r="B101" s="337"/>
      <c r="C101" s="337"/>
      <c r="D101" s="337"/>
      <c r="E101" s="337"/>
      <c r="F101" s="337"/>
      <c r="G101" s="337"/>
      <c r="H101" s="337"/>
      <c r="I101" s="337"/>
      <c r="J101" s="337"/>
      <c r="K101" s="337"/>
      <c r="L101" s="337"/>
      <c r="M101" s="337"/>
      <c r="N101" s="337"/>
      <c r="O101" s="337"/>
      <c r="P101" s="337"/>
      <c r="Q101" s="337"/>
      <c r="R101" s="341"/>
      <c r="S101" s="341"/>
      <c r="T101" s="341"/>
      <c r="U101" s="341"/>
      <c r="V101" s="341"/>
      <c r="W101" s="341"/>
      <c r="X101" s="341"/>
      <c r="Y101" s="341"/>
      <c r="Z101" s="341"/>
      <c r="AA101" s="341"/>
      <c r="AB101" s="341"/>
      <c r="AC101" s="341"/>
      <c r="AD101" s="341"/>
      <c r="AE101" s="341"/>
      <c r="AF101" s="341"/>
      <c r="AG101" s="341"/>
      <c r="AH101" s="341"/>
      <c r="AI101" s="341"/>
      <c r="AJ101" s="341"/>
    </row>
    <row r="102" spans="1:36" x14ac:dyDescent="0.15">
      <c r="A102" s="337"/>
      <c r="B102" s="337"/>
      <c r="C102" s="337"/>
      <c r="D102" s="337"/>
      <c r="E102" s="337"/>
      <c r="F102" s="337"/>
      <c r="G102" s="337"/>
      <c r="H102" s="337"/>
      <c r="I102" s="337"/>
      <c r="J102" s="337"/>
      <c r="K102" s="337"/>
      <c r="L102" s="337"/>
      <c r="M102" s="337"/>
      <c r="N102" s="337"/>
      <c r="O102" s="337"/>
      <c r="P102" s="337"/>
      <c r="Q102" s="337"/>
      <c r="R102" s="341"/>
      <c r="S102" s="341"/>
      <c r="T102" s="341"/>
      <c r="U102" s="341"/>
      <c r="V102" s="341"/>
      <c r="W102" s="341"/>
      <c r="X102" s="341"/>
      <c r="Y102" s="341"/>
      <c r="Z102" s="341"/>
      <c r="AA102" s="341"/>
      <c r="AB102" s="341"/>
      <c r="AC102" s="341"/>
      <c r="AD102" s="341"/>
      <c r="AE102" s="341"/>
      <c r="AF102" s="341"/>
      <c r="AG102" s="341"/>
      <c r="AH102" s="341"/>
      <c r="AI102" s="341"/>
      <c r="AJ102" s="341"/>
    </row>
    <row r="103" spans="1:36" x14ac:dyDescent="0.15">
      <c r="A103" s="337"/>
      <c r="B103" s="337"/>
      <c r="C103" s="337"/>
      <c r="D103" s="337"/>
      <c r="E103" s="337"/>
      <c r="F103" s="337"/>
      <c r="G103" s="337"/>
      <c r="H103" s="337"/>
      <c r="I103" s="337"/>
      <c r="J103" s="337"/>
      <c r="K103" s="337"/>
      <c r="L103" s="337"/>
      <c r="M103" s="337"/>
      <c r="N103" s="337"/>
      <c r="O103" s="337"/>
      <c r="P103" s="337"/>
      <c r="Q103" s="337"/>
      <c r="R103" s="341"/>
      <c r="S103" s="341"/>
      <c r="T103" s="341"/>
      <c r="U103" s="341"/>
      <c r="V103" s="341"/>
      <c r="W103" s="341"/>
      <c r="X103" s="341"/>
      <c r="Y103" s="341"/>
      <c r="Z103" s="341"/>
      <c r="AA103" s="341"/>
      <c r="AB103" s="341"/>
      <c r="AC103" s="341"/>
      <c r="AD103" s="341"/>
      <c r="AE103" s="341"/>
      <c r="AF103" s="341"/>
      <c r="AG103" s="341"/>
      <c r="AH103" s="341"/>
      <c r="AI103" s="341"/>
      <c r="AJ103" s="341"/>
    </row>
    <row r="104" spans="1:36" x14ac:dyDescent="0.15">
      <c r="A104" s="337"/>
      <c r="B104" s="337"/>
      <c r="C104" s="337"/>
      <c r="D104" s="337"/>
      <c r="E104" s="337"/>
      <c r="F104" s="337"/>
      <c r="G104" s="337"/>
      <c r="H104" s="337"/>
      <c r="I104" s="337"/>
      <c r="J104" s="337"/>
      <c r="K104" s="337"/>
      <c r="L104" s="337"/>
      <c r="M104" s="337"/>
      <c r="N104" s="337"/>
      <c r="O104" s="337"/>
      <c r="P104" s="337"/>
      <c r="Q104" s="337"/>
      <c r="R104" s="341"/>
      <c r="S104" s="341"/>
      <c r="T104" s="341"/>
      <c r="U104" s="341"/>
      <c r="V104" s="341"/>
      <c r="W104" s="341"/>
      <c r="X104" s="341"/>
      <c r="Y104" s="341"/>
      <c r="Z104" s="341"/>
      <c r="AA104" s="341"/>
      <c r="AB104" s="341"/>
      <c r="AC104" s="341"/>
      <c r="AD104" s="341"/>
      <c r="AE104" s="341"/>
      <c r="AF104" s="341"/>
      <c r="AG104" s="341"/>
      <c r="AH104" s="341"/>
      <c r="AI104" s="341"/>
      <c r="AJ104" s="341"/>
    </row>
    <row r="105" spans="1:36" x14ac:dyDescent="0.15">
      <c r="A105" s="337"/>
      <c r="B105" s="337"/>
      <c r="C105" s="337"/>
      <c r="D105" s="337"/>
      <c r="E105" s="337"/>
      <c r="F105" s="337"/>
      <c r="G105" s="337"/>
      <c r="H105" s="337"/>
      <c r="I105" s="337"/>
      <c r="J105" s="337"/>
      <c r="K105" s="337"/>
      <c r="L105" s="337"/>
      <c r="M105" s="337"/>
      <c r="N105" s="337"/>
      <c r="O105" s="337"/>
      <c r="P105" s="337"/>
      <c r="Q105" s="337"/>
      <c r="R105" s="341"/>
      <c r="S105" s="341"/>
      <c r="T105" s="341"/>
      <c r="U105" s="341"/>
      <c r="V105" s="341"/>
      <c r="W105" s="341"/>
      <c r="X105" s="341"/>
      <c r="Y105" s="341"/>
      <c r="Z105" s="341"/>
      <c r="AA105" s="341"/>
      <c r="AB105" s="341"/>
      <c r="AC105" s="341"/>
      <c r="AD105" s="341"/>
      <c r="AE105" s="341"/>
      <c r="AF105" s="341"/>
      <c r="AG105" s="341"/>
      <c r="AH105" s="341"/>
      <c r="AI105" s="341"/>
      <c r="AJ105" s="341"/>
    </row>
    <row r="106" spans="1:36" x14ac:dyDescent="0.15">
      <c r="A106" s="337"/>
      <c r="B106" s="337"/>
      <c r="C106" s="337"/>
      <c r="D106" s="337"/>
      <c r="E106" s="337"/>
      <c r="F106" s="337"/>
      <c r="G106" s="337"/>
      <c r="H106" s="337"/>
      <c r="I106" s="337"/>
      <c r="J106" s="337"/>
      <c r="K106" s="337"/>
      <c r="L106" s="337"/>
      <c r="M106" s="337"/>
      <c r="N106" s="337"/>
      <c r="O106" s="337"/>
      <c r="P106" s="337"/>
      <c r="Q106" s="337"/>
      <c r="R106" s="341"/>
      <c r="S106" s="341"/>
      <c r="T106" s="341"/>
      <c r="U106" s="341"/>
      <c r="V106" s="341"/>
      <c r="W106" s="341"/>
      <c r="X106" s="341"/>
      <c r="Y106" s="341"/>
      <c r="Z106" s="341"/>
      <c r="AA106" s="341"/>
      <c r="AB106" s="341"/>
      <c r="AC106" s="341"/>
      <c r="AD106" s="341"/>
      <c r="AE106" s="341"/>
      <c r="AF106" s="341"/>
      <c r="AG106" s="341"/>
      <c r="AH106" s="341"/>
      <c r="AI106" s="341"/>
      <c r="AJ106" s="341"/>
    </row>
    <row r="107" spans="1:36" x14ac:dyDescent="0.15">
      <c r="A107" s="337"/>
      <c r="B107" s="337"/>
      <c r="C107" s="337"/>
      <c r="D107" s="337"/>
      <c r="E107" s="337"/>
      <c r="F107" s="337"/>
      <c r="G107" s="337"/>
      <c r="H107" s="337"/>
      <c r="I107" s="337"/>
      <c r="J107" s="337"/>
      <c r="K107" s="337"/>
      <c r="L107" s="337"/>
      <c r="M107" s="337"/>
      <c r="N107" s="337"/>
      <c r="O107" s="337"/>
      <c r="P107" s="337"/>
      <c r="Q107" s="337"/>
      <c r="R107" s="341"/>
      <c r="S107" s="341"/>
      <c r="T107" s="341"/>
      <c r="U107" s="341"/>
      <c r="V107" s="341"/>
      <c r="W107" s="341"/>
      <c r="X107" s="341"/>
      <c r="Y107" s="341"/>
      <c r="Z107" s="341"/>
      <c r="AA107" s="341"/>
      <c r="AB107" s="341"/>
      <c r="AC107" s="341"/>
      <c r="AD107" s="341"/>
      <c r="AE107" s="341"/>
      <c r="AF107" s="341"/>
      <c r="AG107" s="341"/>
      <c r="AH107" s="341"/>
      <c r="AI107" s="341"/>
      <c r="AJ107" s="341"/>
    </row>
    <row r="108" spans="1:36" x14ac:dyDescent="0.15">
      <c r="A108" s="337"/>
      <c r="B108" s="337"/>
      <c r="C108" s="337"/>
      <c r="D108" s="337"/>
      <c r="E108" s="337"/>
      <c r="F108" s="337"/>
      <c r="G108" s="337"/>
      <c r="H108" s="337"/>
      <c r="I108" s="337"/>
      <c r="J108" s="337"/>
      <c r="K108" s="337"/>
      <c r="L108" s="337"/>
      <c r="M108" s="337"/>
      <c r="N108" s="337"/>
      <c r="O108" s="337"/>
      <c r="P108" s="337"/>
      <c r="Q108" s="337"/>
      <c r="R108" s="341"/>
      <c r="S108" s="341"/>
      <c r="T108" s="341"/>
      <c r="U108" s="341"/>
      <c r="V108" s="341"/>
      <c r="W108" s="341"/>
      <c r="X108" s="341"/>
      <c r="Y108" s="341"/>
      <c r="Z108" s="341"/>
      <c r="AA108" s="341"/>
      <c r="AB108" s="341"/>
      <c r="AC108" s="341"/>
      <c r="AD108" s="341"/>
      <c r="AE108" s="341"/>
      <c r="AF108" s="341"/>
      <c r="AG108" s="341"/>
      <c r="AH108" s="341"/>
      <c r="AI108" s="341"/>
      <c r="AJ108" s="341"/>
    </row>
    <row r="109" spans="1:36" x14ac:dyDescent="0.15">
      <c r="A109" s="337"/>
      <c r="B109" s="337"/>
      <c r="C109" s="337"/>
      <c r="D109" s="337"/>
      <c r="E109" s="337"/>
      <c r="F109" s="337"/>
      <c r="G109" s="337"/>
      <c r="H109" s="337"/>
      <c r="I109" s="337"/>
      <c r="J109" s="337"/>
      <c r="K109" s="337"/>
      <c r="L109" s="337"/>
      <c r="M109" s="337"/>
      <c r="N109" s="337"/>
      <c r="O109" s="337"/>
      <c r="P109" s="337"/>
      <c r="Q109" s="337"/>
      <c r="R109" s="341"/>
      <c r="S109" s="341"/>
      <c r="T109" s="341"/>
      <c r="U109" s="341"/>
      <c r="V109" s="341"/>
      <c r="W109" s="341"/>
      <c r="X109" s="341"/>
      <c r="Y109" s="341"/>
      <c r="Z109" s="341"/>
      <c r="AA109" s="341"/>
      <c r="AB109" s="341"/>
      <c r="AC109" s="341"/>
      <c r="AD109" s="341"/>
      <c r="AE109" s="341"/>
      <c r="AF109" s="341"/>
      <c r="AG109" s="341"/>
      <c r="AH109" s="341"/>
      <c r="AI109" s="341"/>
      <c r="AJ109" s="341"/>
    </row>
    <row r="110" spans="1:36" x14ac:dyDescent="0.15">
      <c r="A110" s="337"/>
      <c r="B110" s="337"/>
      <c r="C110" s="337"/>
      <c r="D110" s="337"/>
      <c r="E110" s="337"/>
      <c r="F110" s="337"/>
      <c r="G110" s="337"/>
      <c r="H110" s="337"/>
      <c r="I110" s="337"/>
      <c r="J110" s="337"/>
      <c r="K110" s="337"/>
      <c r="L110" s="337"/>
      <c r="M110" s="337"/>
      <c r="N110" s="337"/>
      <c r="O110" s="337"/>
      <c r="P110" s="337"/>
      <c r="Q110" s="337"/>
      <c r="R110" s="341"/>
      <c r="S110" s="341"/>
      <c r="T110" s="341"/>
      <c r="U110" s="341"/>
      <c r="V110" s="341"/>
      <c r="W110" s="341"/>
      <c r="X110" s="341"/>
      <c r="Y110" s="341"/>
      <c r="Z110" s="341"/>
      <c r="AA110" s="341"/>
      <c r="AB110" s="341"/>
      <c r="AC110" s="341"/>
      <c r="AD110" s="341"/>
      <c r="AE110" s="341"/>
      <c r="AF110" s="341"/>
      <c r="AG110" s="341"/>
      <c r="AH110" s="341"/>
      <c r="AI110" s="341"/>
      <c r="AJ110" s="341"/>
    </row>
    <row r="111" spans="1:36" x14ac:dyDescent="0.15">
      <c r="A111" s="337"/>
      <c r="B111" s="337"/>
      <c r="C111" s="337"/>
      <c r="D111" s="337"/>
      <c r="E111" s="337"/>
      <c r="F111" s="337"/>
      <c r="G111" s="337"/>
      <c r="H111" s="337"/>
      <c r="I111" s="337"/>
      <c r="J111" s="337"/>
      <c r="K111" s="337"/>
      <c r="L111" s="337"/>
      <c r="M111" s="337"/>
      <c r="N111" s="337"/>
      <c r="O111" s="337"/>
      <c r="P111" s="337"/>
      <c r="Q111" s="337"/>
      <c r="R111" s="341"/>
      <c r="S111" s="341"/>
      <c r="T111" s="341"/>
      <c r="U111" s="341"/>
      <c r="V111" s="341"/>
      <c r="W111" s="341"/>
      <c r="X111" s="341"/>
      <c r="Y111" s="341"/>
      <c r="Z111" s="341"/>
      <c r="AA111" s="341"/>
      <c r="AB111" s="341"/>
      <c r="AC111" s="341"/>
      <c r="AD111" s="341"/>
      <c r="AE111" s="341"/>
      <c r="AF111" s="341"/>
      <c r="AG111" s="341"/>
      <c r="AH111" s="341"/>
      <c r="AI111" s="341"/>
      <c r="AJ111" s="341"/>
    </row>
    <row r="112" spans="1:36" x14ac:dyDescent="0.15">
      <c r="A112" s="337"/>
      <c r="B112" s="337"/>
      <c r="C112" s="337"/>
      <c r="D112" s="337"/>
      <c r="E112" s="337"/>
      <c r="F112" s="337"/>
      <c r="G112" s="337"/>
      <c r="H112" s="337"/>
      <c r="I112" s="337"/>
      <c r="J112" s="337"/>
      <c r="K112" s="337"/>
      <c r="L112" s="337"/>
      <c r="M112" s="337"/>
      <c r="N112" s="337"/>
      <c r="O112" s="337"/>
      <c r="P112" s="337"/>
      <c r="Q112" s="337"/>
      <c r="R112" s="341"/>
      <c r="S112" s="341"/>
      <c r="T112" s="341"/>
      <c r="U112" s="341"/>
      <c r="V112" s="341"/>
      <c r="W112" s="341"/>
      <c r="X112" s="341"/>
      <c r="Y112" s="341"/>
      <c r="Z112" s="341"/>
      <c r="AA112" s="341"/>
      <c r="AB112" s="341"/>
      <c r="AC112" s="341"/>
      <c r="AD112" s="341"/>
      <c r="AE112" s="341"/>
      <c r="AF112" s="341"/>
      <c r="AG112" s="341"/>
      <c r="AH112" s="341"/>
      <c r="AI112" s="341"/>
      <c r="AJ112" s="341"/>
    </row>
    <row r="113" spans="1:36" x14ac:dyDescent="0.15">
      <c r="A113" s="337"/>
      <c r="B113" s="337"/>
      <c r="C113" s="337"/>
      <c r="D113" s="337"/>
      <c r="E113" s="337"/>
      <c r="F113" s="337"/>
      <c r="G113" s="337"/>
      <c r="H113" s="337"/>
      <c r="I113" s="337"/>
      <c r="J113" s="337"/>
      <c r="K113" s="337"/>
      <c r="L113" s="337"/>
      <c r="M113" s="337"/>
      <c r="N113" s="337"/>
      <c r="O113" s="337"/>
      <c r="P113" s="337"/>
      <c r="Q113" s="337"/>
      <c r="R113" s="341"/>
      <c r="S113" s="341"/>
      <c r="T113" s="341"/>
      <c r="U113" s="341"/>
      <c r="V113" s="341"/>
      <c r="W113" s="341"/>
      <c r="X113" s="341"/>
      <c r="Y113" s="341"/>
      <c r="Z113" s="341"/>
      <c r="AA113" s="341"/>
      <c r="AB113" s="341"/>
      <c r="AC113" s="341"/>
      <c r="AD113" s="341"/>
      <c r="AE113" s="341"/>
      <c r="AF113" s="341"/>
      <c r="AG113" s="341"/>
      <c r="AH113" s="341"/>
      <c r="AI113" s="341"/>
      <c r="AJ113" s="341"/>
    </row>
    <row r="114" spans="1:36" x14ac:dyDescent="0.15">
      <c r="A114" s="337"/>
      <c r="B114" s="337"/>
      <c r="C114" s="337"/>
      <c r="D114" s="337"/>
      <c r="E114" s="337"/>
      <c r="F114" s="337"/>
      <c r="G114" s="337"/>
      <c r="H114" s="337"/>
      <c r="I114" s="337"/>
      <c r="J114" s="337"/>
      <c r="K114" s="337"/>
      <c r="L114" s="337"/>
      <c r="M114" s="337"/>
      <c r="N114" s="337"/>
      <c r="O114" s="337"/>
      <c r="P114" s="337"/>
      <c r="Q114" s="337"/>
      <c r="R114" s="341"/>
      <c r="S114" s="341"/>
      <c r="T114" s="341"/>
      <c r="U114" s="341"/>
      <c r="V114" s="341"/>
      <c r="W114" s="341"/>
      <c r="X114" s="341"/>
      <c r="Y114" s="341"/>
      <c r="Z114" s="341"/>
      <c r="AA114" s="341"/>
      <c r="AB114" s="341"/>
      <c r="AC114" s="341"/>
      <c r="AD114" s="341"/>
      <c r="AE114" s="341"/>
      <c r="AF114" s="341"/>
      <c r="AG114" s="341"/>
      <c r="AH114" s="341"/>
      <c r="AI114" s="341"/>
      <c r="AJ114" s="341"/>
    </row>
    <row r="115" spans="1:36" x14ac:dyDescent="0.15">
      <c r="A115" s="337"/>
      <c r="B115" s="337"/>
      <c r="C115" s="337"/>
      <c r="D115" s="337"/>
      <c r="E115" s="337"/>
      <c r="F115" s="337"/>
      <c r="G115" s="337"/>
      <c r="H115" s="337"/>
      <c r="I115" s="337"/>
      <c r="J115" s="337"/>
      <c r="K115" s="337"/>
      <c r="L115" s="337"/>
      <c r="M115" s="337"/>
      <c r="N115" s="337"/>
      <c r="O115" s="337"/>
      <c r="P115" s="337"/>
      <c r="Q115" s="337"/>
      <c r="R115" s="341"/>
      <c r="S115" s="341"/>
      <c r="T115" s="341"/>
      <c r="U115" s="341"/>
      <c r="V115" s="341"/>
      <c r="W115" s="341"/>
      <c r="X115" s="341"/>
      <c r="Y115" s="341"/>
      <c r="Z115" s="341"/>
      <c r="AA115" s="341"/>
      <c r="AB115" s="341"/>
      <c r="AC115" s="341"/>
      <c r="AD115" s="341"/>
      <c r="AE115" s="341"/>
      <c r="AF115" s="341"/>
      <c r="AG115" s="341"/>
      <c r="AH115" s="341"/>
      <c r="AI115" s="341"/>
      <c r="AJ115" s="341"/>
    </row>
    <row r="116" spans="1:36" x14ac:dyDescent="0.15">
      <c r="A116" s="337"/>
      <c r="B116" s="337"/>
      <c r="C116" s="337"/>
      <c r="D116" s="337"/>
      <c r="E116" s="337"/>
      <c r="F116" s="337"/>
      <c r="G116" s="337"/>
      <c r="H116" s="337"/>
      <c r="I116" s="337"/>
      <c r="J116" s="337"/>
      <c r="K116" s="337"/>
      <c r="L116" s="337"/>
      <c r="M116" s="337"/>
      <c r="N116" s="337"/>
      <c r="O116" s="337"/>
      <c r="P116" s="337"/>
      <c r="Q116" s="337"/>
      <c r="R116" s="341"/>
      <c r="S116" s="341"/>
      <c r="T116" s="341"/>
      <c r="U116" s="341"/>
      <c r="V116" s="341"/>
      <c r="W116" s="341"/>
      <c r="X116" s="341"/>
      <c r="Y116" s="341"/>
      <c r="Z116" s="341"/>
      <c r="AA116" s="341"/>
      <c r="AB116" s="341"/>
      <c r="AC116" s="341"/>
      <c r="AD116" s="341"/>
      <c r="AE116" s="341"/>
      <c r="AF116" s="341"/>
      <c r="AG116" s="341"/>
      <c r="AH116" s="341"/>
      <c r="AI116" s="341"/>
      <c r="AJ116" s="341"/>
    </row>
    <row r="117" spans="1:36" x14ac:dyDescent="0.15">
      <c r="A117" s="337"/>
      <c r="B117" s="337"/>
      <c r="C117" s="337"/>
      <c r="D117" s="337"/>
      <c r="E117" s="337"/>
      <c r="F117" s="337"/>
      <c r="G117" s="337"/>
      <c r="H117" s="337"/>
      <c r="I117" s="337"/>
      <c r="J117" s="337"/>
      <c r="K117" s="337"/>
      <c r="L117" s="337"/>
      <c r="M117" s="337"/>
      <c r="N117" s="337"/>
      <c r="O117" s="337"/>
      <c r="P117" s="337"/>
      <c r="Q117" s="337"/>
      <c r="R117" s="341"/>
      <c r="S117" s="341"/>
      <c r="T117" s="341"/>
      <c r="U117" s="341"/>
      <c r="V117" s="341"/>
      <c r="W117" s="341"/>
      <c r="X117" s="341"/>
      <c r="Y117" s="341"/>
      <c r="Z117" s="341"/>
      <c r="AA117" s="341"/>
      <c r="AB117" s="341"/>
      <c r="AC117" s="341"/>
      <c r="AD117" s="341"/>
      <c r="AE117" s="341"/>
      <c r="AF117" s="341"/>
      <c r="AG117" s="341"/>
      <c r="AH117" s="341"/>
      <c r="AI117" s="341"/>
      <c r="AJ117" s="341"/>
    </row>
    <row r="118" spans="1:36" x14ac:dyDescent="0.15">
      <c r="A118" s="337"/>
      <c r="B118" s="337"/>
      <c r="C118" s="337"/>
      <c r="D118" s="337"/>
      <c r="E118" s="337"/>
      <c r="F118" s="337"/>
      <c r="G118" s="337"/>
      <c r="H118" s="337"/>
      <c r="I118" s="337"/>
      <c r="J118" s="337"/>
      <c r="K118" s="337"/>
      <c r="L118" s="337"/>
      <c r="M118" s="337"/>
      <c r="N118" s="337"/>
      <c r="O118" s="337"/>
      <c r="P118" s="337"/>
      <c r="Q118" s="337"/>
      <c r="R118" s="341"/>
      <c r="S118" s="341"/>
      <c r="T118" s="341"/>
      <c r="U118" s="341"/>
      <c r="V118" s="341"/>
      <c r="W118" s="341"/>
      <c r="X118" s="341"/>
      <c r="Y118" s="341"/>
      <c r="Z118" s="341"/>
      <c r="AA118" s="341"/>
      <c r="AB118" s="341"/>
      <c r="AC118" s="341"/>
      <c r="AD118" s="341"/>
      <c r="AE118" s="341"/>
      <c r="AF118" s="341"/>
      <c r="AG118" s="341"/>
      <c r="AH118" s="341"/>
      <c r="AI118" s="341"/>
      <c r="AJ118" s="341"/>
    </row>
    <row r="119" spans="1:36" x14ac:dyDescent="0.15">
      <c r="A119" s="337"/>
      <c r="B119" s="337"/>
      <c r="C119" s="337"/>
      <c r="D119" s="337"/>
      <c r="E119" s="337"/>
      <c r="F119" s="337"/>
      <c r="G119" s="337"/>
      <c r="H119" s="337"/>
      <c r="I119" s="337"/>
      <c r="J119" s="337"/>
      <c r="K119" s="337"/>
      <c r="L119" s="337"/>
      <c r="M119" s="337"/>
      <c r="N119" s="337"/>
      <c r="O119" s="337"/>
      <c r="P119" s="337"/>
      <c r="Q119" s="337"/>
      <c r="R119" s="341"/>
      <c r="S119" s="341"/>
      <c r="T119" s="341"/>
      <c r="U119" s="341"/>
      <c r="V119" s="341"/>
      <c r="W119" s="341"/>
      <c r="X119" s="341"/>
      <c r="Y119" s="341"/>
      <c r="Z119" s="341"/>
      <c r="AA119" s="341"/>
      <c r="AB119" s="341"/>
      <c r="AC119" s="341"/>
      <c r="AD119" s="341"/>
      <c r="AE119" s="341"/>
      <c r="AF119" s="341"/>
      <c r="AG119" s="341"/>
      <c r="AH119" s="341"/>
      <c r="AI119" s="341"/>
      <c r="AJ119" s="341"/>
    </row>
    <row r="120" spans="1:36" x14ac:dyDescent="0.15">
      <c r="A120" s="337"/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7"/>
      <c r="Q120" s="337"/>
      <c r="R120" s="341"/>
      <c r="S120" s="341"/>
      <c r="T120" s="341"/>
      <c r="U120" s="341"/>
      <c r="V120" s="341"/>
      <c r="W120" s="341"/>
      <c r="X120" s="341"/>
      <c r="Y120" s="341"/>
      <c r="Z120" s="341"/>
      <c r="AA120" s="341"/>
      <c r="AB120" s="341"/>
      <c r="AC120" s="341"/>
      <c r="AD120" s="341"/>
      <c r="AE120" s="341"/>
      <c r="AF120" s="341"/>
      <c r="AG120" s="341"/>
      <c r="AH120" s="341"/>
      <c r="AI120" s="341"/>
      <c r="AJ120" s="341"/>
    </row>
    <row r="121" spans="1:36" x14ac:dyDescent="0.15">
      <c r="A121" s="337"/>
      <c r="B121" s="337"/>
      <c r="C121" s="337"/>
      <c r="D121" s="337"/>
      <c r="E121" s="337"/>
      <c r="F121" s="337"/>
      <c r="G121" s="337"/>
      <c r="H121" s="337"/>
      <c r="I121" s="337"/>
      <c r="J121" s="337"/>
      <c r="K121" s="337"/>
      <c r="L121" s="337"/>
      <c r="M121" s="337"/>
      <c r="N121" s="337"/>
      <c r="O121" s="337"/>
      <c r="P121" s="337"/>
      <c r="Q121" s="337"/>
      <c r="R121" s="341"/>
      <c r="S121" s="341"/>
      <c r="T121" s="341"/>
      <c r="U121" s="341"/>
      <c r="V121" s="341"/>
      <c r="W121" s="341"/>
      <c r="X121" s="341"/>
      <c r="Y121" s="341"/>
      <c r="Z121" s="341"/>
      <c r="AA121" s="341"/>
      <c r="AB121" s="341"/>
      <c r="AC121" s="341"/>
      <c r="AD121" s="341"/>
      <c r="AE121" s="341"/>
      <c r="AF121" s="341"/>
      <c r="AG121" s="341"/>
      <c r="AH121" s="341"/>
      <c r="AI121" s="341"/>
      <c r="AJ121" s="341"/>
    </row>
    <row r="122" spans="1:36" x14ac:dyDescent="0.15">
      <c r="A122" s="337"/>
      <c r="B122" s="337"/>
      <c r="C122" s="337"/>
      <c r="D122" s="337"/>
      <c r="E122" s="337"/>
      <c r="F122" s="337"/>
      <c r="G122" s="337"/>
      <c r="H122" s="337"/>
      <c r="I122" s="337"/>
      <c r="J122" s="337"/>
      <c r="K122" s="337"/>
      <c r="L122" s="337"/>
      <c r="M122" s="337"/>
      <c r="N122" s="337"/>
      <c r="O122" s="337"/>
      <c r="P122" s="337"/>
      <c r="Q122" s="337"/>
      <c r="R122" s="341"/>
      <c r="S122" s="341"/>
      <c r="T122" s="341"/>
      <c r="U122" s="341"/>
      <c r="V122" s="341"/>
      <c r="W122" s="341"/>
      <c r="X122" s="341"/>
      <c r="Y122" s="341"/>
      <c r="Z122" s="341"/>
      <c r="AA122" s="341"/>
      <c r="AB122" s="341"/>
      <c r="AC122" s="341"/>
      <c r="AD122" s="341"/>
      <c r="AE122" s="341"/>
      <c r="AF122" s="341"/>
      <c r="AG122" s="341"/>
      <c r="AH122" s="341"/>
      <c r="AI122" s="341"/>
      <c r="AJ122" s="341"/>
    </row>
    <row r="123" spans="1:36" x14ac:dyDescent="0.15">
      <c r="A123" s="337"/>
      <c r="B123" s="337"/>
      <c r="C123" s="337"/>
      <c r="D123" s="337"/>
      <c r="E123" s="337"/>
      <c r="F123" s="337"/>
      <c r="G123" s="337"/>
      <c r="H123" s="337"/>
      <c r="I123" s="337"/>
      <c r="J123" s="337"/>
      <c r="K123" s="337"/>
      <c r="L123" s="337"/>
      <c r="M123" s="337"/>
      <c r="N123" s="337"/>
      <c r="O123" s="337"/>
      <c r="P123" s="337"/>
      <c r="Q123" s="337"/>
      <c r="R123" s="341"/>
      <c r="S123" s="341"/>
      <c r="T123" s="341"/>
      <c r="U123" s="341"/>
      <c r="V123" s="341"/>
      <c r="W123" s="341"/>
      <c r="X123" s="341"/>
      <c r="Y123" s="341"/>
      <c r="Z123" s="341"/>
      <c r="AA123" s="341"/>
      <c r="AB123" s="341"/>
      <c r="AC123" s="341"/>
      <c r="AD123" s="341"/>
      <c r="AE123" s="341"/>
      <c r="AF123" s="341"/>
      <c r="AG123" s="341"/>
      <c r="AH123" s="341"/>
      <c r="AI123" s="341"/>
      <c r="AJ123" s="341"/>
    </row>
    <row r="124" spans="1:36" x14ac:dyDescent="0.15">
      <c r="A124" s="337"/>
      <c r="B124" s="337"/>
      <c r="C124" s="337"/>
      <c r="D124" s="337"/>
      <c r="E124" s="337"/>
      <c r="F124" s="337"/>
      <c r="G124" s="337"/>
      <c r="H124" s="337"/>
      <c r="I124" s="337"/>
      <c r="J124" s="337"/>
      <c r="K124" s="337"/>
      <c r="L124" s="337"/>
      <c r="M124" s="337"/>
      <c r="N124" s="337"/>
      <c r="O124" s="337"/>
      <c r="P124" s="337"/>
      <c r="Q124" s="337"/>
      <c r="R124" s="341"/>
      <c r="S124" s="341"/>
      <c r="T124" s="341"/>
      <c r="U124" s="341"/>
      <c r="V124" s="341"/>
      <c r="W124" s="341"/>
      <c r="X124" s="341"/>
      <c r="Y124" s="341"/>
      <c r="Z124" s="341"/>
      <c r="AA124" s="341"/>
      <c r="AB124" s="341"/>
      <c r="AC124" s="341"/>
      <c r="AD124" s="341"/>
      <c r="AE124" s="341"/>
      <c r="AF124" s="341"/>
      <c r="AG124" s="341"/>
      <c r="AH124" s="341"/>
      <c r="AI124" s="341"/>
      <c r="AJ124" s="341"/>
    </row>
    <row r="125" spans="1:36" x14ac:dyDescent="0.15">
      <c r="A125" s="337"/>
      <c r="B125" s="337"/>
      <c r="C125" s="337"/>
      <c r="D125" s="337"/>
      <c r="E125" s="337"/>
      <c r="F125" s="337"/>
      <c r="G125" s="337"/>
      <c r="H125" s="337"/>
      <c r="I125" s="337"/>
      <c r="J125" s="337"/>
      <c r="K125" s="337"/>
      <c r="L125" s="337"/>
      <c r="M125" s="337"/>
      <c r="N125" s="337"/>
      <c r="O125" s="337"/>
      <c r="P125" s="337"/>
      <c r="Q125" s="337"/>
      <c r="R125" s="341"/>
      <c r="S125" s="341"/>
      <c r="T125" s="341"/>
      <c r="U125" s="341"/>
      <c r="V125" s="341"/>
      <c r="W125" s="341"/>
      <c r="X125" s="341"/>
      <c r="Y125" s="341"/>
      <c r="Z125" s="341"/>
      <c r="AA125" s="341"/>
      <c r="AB125" s="341"/>
      <c r="AC125" s="341"/>
      <c r="AD125" s="341"/>
      <c r="AE125" s="341"/>
      <c r="AF125" s="341"/>
      <c r="AG125" s="341"/>
      <c r="AH125" s="341"/>
      <c r="AI125" s="341"/>
      <c r="AJ125" s="341"/>
    </row>
    <row r="126" spans="1:36" x14ac:dyDescent="0.15">
      <c r="A126" s="337"/>
      <c r="B126" s="337"/>
      <c r="C126" s="337"/>
      <c r="D126" s="337"/>
      <c r="E126" s="337"/>
      <c r="F126" s="337"/>
      <c r="G126" s="337"/>
      <c r="H126" s="337"/>
      <c r="I126" s="337"/>
      <c r="J126" s="337"/>
      <c r="K126" s="337"/>
      <c r="L126" s="337"/>
      <c r="M126" s="337"/>
      <c r="N126" s="337"/>
      <c r="O126" s="337"/>
      <c r="P126" s="337"/>
      <c r="Q126" s="337"/>
      <c r="R126" s="341"/>
      <c r="S126" s="341"/>
      <c r="T126" s="341"/>
      <c r="U126" s="341"/>
      <c r="V126" s="341"/>
      <c r="W126" s="341"/>
      <c r="X126" s="341"/>
      <c r="Y126" s="341"/>
      <c r="Z126" s="341"/>
      <c r="AA126" s="341"/>
      <c r="AB126" s="341"/>
      <c r="AC126" s="341"/>
      <c r="AD126" s="341"/>
      <c r="AE126" s="341"/>
      <c r="AF126" s="341"/>
      <c r="AG126" s="341"/>
      <c r="AH126" s="341"/>
      <c r="AI126" s="341"/>
      <c r="AJ126" s="341"/>
    </row>
    <row r="127" spans="1:36" x14ac:dyDescent="0.15">
      <c r="A127" s="337"/>
      <c r="B127" s="337"/>
      <c r="C127" s="337"/>
      <c r="D127" s="337"/>
      <c r="E127" s="337"/>
      <c r="F127" s="337"/>
      <c r="G127" s="337"/>
      <c r="H127" s="337"/>
      <c r="I127" s="337"/>
      <c r="J127" s="337"/>
      <c r="K127" s="337"/>
      <c r="L127" s="337"/>
      <c r="M127" s="337"/>
      <c r="N127" s="337"/>
      <c r="O127" s="337"/>
      <c r="P127" s="337"/>
      <c r="Q127" s="337"/>
      <c r="R127" s="341"/>
      <c r="S127" s="341"/>
      <c r="T127" s="341"/>
      <c r="U127" s="341"/>
      <c r="V127" s="341"/>
      <c r="W127" s="341"/>
      <c r="X127" s="341"/>
      <c r="Y127" s="341"/>
      <c r="Z127" s="341"/>
      <c r="AA127" s="341"/>
      <c r="AB127" s="341"/>
      <c r="AC127" s="341"/>
      <c r="AD127" s="341"/>
      <c r="AE127" s="341"/>
      <c r="AF127" s="341"/>
      <c r="AG127" s="341"/>
      <c r="AH127" s="341"/>
      <c r="AI127" s="341"/>
      <c r="AJ127" s="341"/>
    </row>
    <row r="128" spans="1:36" x14ac:dyDescent="0.15">
      <c r="A128" s="337"/>
      <c r="B128" s="337"/>
      <c r="C128" s="337"/>
      <c r="D128" s="337"/>
      <c r="E128" s="337"/>
      <c r="F128" s="337"/>
      <c r="G128" s="337"/>
      <c r="H128" s="337"/>
      <c r="I128" s="337"/>
      <c r="J128" s="337"/>
      <c r="K128" s="337"/>
      <c r="L128" s="337"/>
      <c r="M128" s="337"/>
      <c r="N128" s="337"/>
      <c r="O128" s="337"/>
      <c r="P128" s="337"/>
      <c r="Q128" s="337"/>
      <c r="R128" s="341"/>
      <c r="S128" s="341"/>
      <c r="T128" s="341"/>
      <c r="U128" s="341"/>
      <c r="V128" s="341"/>
      <c r="W128" s="341"/>
      <c r="X128" s="341"/>
      <c r="Y128" s="341"/>
      <c r="Z128" s="341"/>
      <c r="AA128" s="341"/>
      <c r="AB128" s="341"/>
      <c r="AC128" s="341"/>
      <c r="AD128" s="341"/>
      <c r="AE128" s="341"/>
      <c r="AF128" s="341"/>
      <c r="AG128" s="341"/>
      <c r="AH128" s="341"/>
      <c r="AI128" s="341"/>
      <c r="AJ128" s="341"/>
    </row>
    <row r="129" spans="1:36" x14ac:dyDescent="0.15">
      <c r="A129" s="337"/>
      <c r="B129" s="337"/>
      <c r="C129" s="337"/>
      <c r="D129" s="337"/>
      <c r="E129" s="337"/>
      <c r="F129" s="337"/>
      <c r="G129" s="337"/>
      <c r="H129" s="337"/>
      <c r="I129" s="337"/>
      <c r="J129" s="337"/>
      <c r="K129" s="337"/>
      <c r="L129" s="337"/>
      <c r="M129" s="337"/>
      <c r="N129" s="337"/>
      <c r="O129" s="337"/>
      <c r="P129" s="337"/>
      <c r="Q129" s="337"/>
      <c r="R129" s="341"/>
      <c r="S129" s="341"/>
      <c r="T129" s="341"/>
      <c r="U129" s="341"/>
      <c r="V129" s="341"/>
      <c r="W129" s="341"/>
      <c r="X129" s="341"/>
      <c r="Y129" s="341"/>
      <c r="Z129" s="341"/>
      <c r="AA129" s="341"/>
      <c r="AB129" s="341"/>
      <c r="AC129" s="341"/>
      <c r="AD129" s="341"/>
      <c r="AE129" s="341"/>
      <c r="AF129" s="341"/>
      <c r="AG129" s="341"/>
      <c r="AH129" s="341"/>
      <c r="AI129" s="341"/>
      <c r="AJ129" s="341"/>
    </row>
    <row r="130" spans="1:36" x14ac:dyDescent="0.15">
      <c r="A130" s="337"/>
      <c r="B130" s="337"/>
      <c r="C130" s="337"/>
      <c r="D130" s="337"/>
      <c r="E130" s="337"/>
      <c r="F130" s="337"/>
      <c r="G130" s="337"/>
      <c r="H130" s="337"/>
      <c r="I130" s="337"/>
      <c r="J130" s="337"/>
      <c r="K130" s="337"/>
      <c r="L130" s="337"/>
      <c r="M130" s="337"/>
      <c r="N130" s="337"/>
      <c r="O130" s="337"/>
      <c r="P130" s="337"/>
      <c r="Q130" s="337"/>
      <c r="R130" s="341"/>
      <c r="S130" s="341"/>
      <c r="T130" s="341"/>
      <c r="U130" s="341"/>
      <c r="V130" s="341"/>
      <c r="W130" s="341"/>
      <c r="X130" s="341"/>
      <c r="Y130" s="341"/>
      <c r="Z130" s="341"/>
      <c r="AA130" s="341"/>
      <c r="AB130" s="341"/>
      <c r="AC130" s="341"/>
      <c r="AD130" s="341"/>
      <c r="AE130" s="341"/>
      <c r="AF130" s="341"/>
      <c r="AG130" s="341"/>
      <c r="AH130" s="341"/>
      <c r="AI130" s="341"/>
      <c r="AJ130" s="341"/>
    </row>
    <row r="131" spans="1:36" x14ac:dyDescent="0.15">
      <c r="A131" s="337"/>
      <c r="B131" s="337"/>
      <c r="C131" s="337"/>
      <c r="D131" s="337"/>
      <c r="E131" s="337"/>
      <c r="F131" s="337"/>
      <c r="G131" s="337"/>
      <c r="H131" s="337"/>
      <c r="I131" s="337"/>
      <c r="J131" s="337"/>
      <c r="K131" s="337"/>
      <c r="L131" s="337"/>
      <c r="M131" s="337"/>
      <c r="N131" s="337"/>
      <c r="O131" s="337"/>
      <c r="P131" s="337"/>
      <c r="Q131" s="337"/>
      <c r="R131" s="341"/>
      <c r="S131" s="341"/>
      <c r="T131" s="341"/>
      <c r="U131" s="341"/>
      <c r="V131" s="341"/>
      <c r="W131" s="341"/>
      <c r="X131" s="341"/>
      <c r="Y131" s="341"/>
      <c r="Z131" s="341"/>
      <c r="AA131" s="341"/>
      <c r="AB131" s="341"/>
      <c r="AC131" s="341"/>
      <c r="AD131" s="341"/>
      <c r="AE131" s="341"/>
      <c r="AF131" s="341"/>
      <c r="AG131" s="341"/>
      <c r="AH131" s="341"/>
      <c r="AI131" s="341"/>
      <c r="AJ131" s="341"/>
    </row>
    <row r="132" spans="1:36" x14ac:dyDescent="0.15">
      <c r="A132" s="337"/>
      <c r="B132" s="337"/>
      <c r="C132" s="337"/>
      <c r="D132" s="337"/>
      <c r="E132" s="337"/>
      <c r="F132" s="337"/>
      <c r="G132" s="337"/>
      <c r="H132" s="337"/>
      <c r="I132" s="337"/>
      <c r="J132" s="337"/>
      <c r="K132" s="337"/>
      <c r="L132" s="337"/>
      <c r="M132" s="337"/>
      <c r="N132" s="337"/>
      <c r="O132" s="337"/>
      <c r="P132" s="337"/>
      <c r="Q132" s="337"/>
      <c r="R132" s="341"/>
      <c r="S132" s="341"/>
      <c r="T132" s="341"/>
      <c r="U132" s="341"/>
      <c r="V132" s="341"/>
      <c r="W132" s="341"/>
      <c r="X132" s="341"/>
      <c r="Y132" s="341"/>
      <c r="Z132" s="341"/>
      <c r="AA132" s="341"/>
      <c r="AB132" s="341"/>
      <c r="AC132" s="341"/>
      <c r="AD132" s="341"/>
      <c r="AE132" s="341"/>
      <c r="AF132" s="341"/>
      <c r="AG132" s="341"/>
      <c r="AH132" s="341"/>
      <c r="AI132" s="341"/>
      <c r="AJ132" s="341"/>
    </row>
    <row r="133" spans="1:36" x14ac:dyDescent="0.15">
      <c r="A133" s="337"/>
      <c r="B133" s="337"/>
      <c r="C133" s="337"/>
      <c r="D133" s="337"/>
      <c r="E133" s="337"/>
      <c r="F133" s="337"/>
      <c r="G133" s="337"/>
      <c r="H133" s="337"/>
      <c r="I133" s="337"/>
      <c r="J133" s="337"/>
      <c r="K133" s="337"/>
      <c r="L133" s="337"/>
      <c r="M133" s="337"/>
      <c r="N133" s="337"/>
      <c r="O133" s="337"/>
      <c r="P133" s="337"/>
      <c r="Q133" s="337"/>
      <c r="R133" s="341"/>
      <c r="S133" s="341"/>
      <c r="T133" s="341"/>
      <c r="U133" s="341"/>
      <c r="V133" s="341"/>
      <c r="W133" s="341"/>
      <c r="X133" s="341"/>
      <c r="Y133" s="341"/>
      <c r="Z133" s="341"/>
      <c r="AA133" s="341"/>
      <c r="AB133" s="341"/>
      <c r="AC133" s="341"/>
      <c r="AD133" s="341"/>
      <c r="AE133" s="341"/>
      <c r="AF133" s="341"/>
      <c r="AG133" s="341"/>
      <c r="AH133" s="341"/>
      <c r="AI133" s="341"/>
      <c r="AJ133" s="341"/>
    </row>
    <row r="134" spans="1:36" x14ac:dyDescent="0.15">
      <c r="A134" s="337"/>
      <c r="B134" s="337"/>
      <c r="C134" s="337"/>
      <c r="D134" s="337"/>
      <c r="E134" s="337"/>
      <c r="F134" s="337"/>
      <c r="G134" s="337"/>
      <c r="H134" s="337"/>
      <c r="I134" s="337"/>
      <c r="J134" s="337"/>
      <c r="K134" s="337"/>
      <c r="L134" s="337"/>
      <c r="M134" s="337"/>
      <c r="N134" s="337"/>
      <c r="O134" s="337"/>
      <c r="P134" s="337"/>
      <c r="Q134" s="337"/>
      <c r="R134" s="341"/>
      <c r="S134" s="341"/>
      <c r="T134" s="341"/>
      <c r="U134" s="341"/>
      <c r="V134" s="341"/>
      <c r="W134" s="341"/>
      <c r="X134" s="341"/>
      <c r="Y134" s="341"/>
      <c r="Z134" s="341"/>
      <c r="AA134" s="341"/>
      <c r="AB134" s="341"/>
      <c r="AC134" s="341"/>
      <c r="AD134" s="341"/>
      <c r="AE134" s="341"/>
      <c r="AF134" s="341"/>
      <c r="AG134" s="341"/>
      <c r="AH134" s="341"/>
      <c r="AI134" s="341"/>
      <c r="AJ134" s="341"/>
    </row>
    <row r="135" spans="1:36" x14ac:dyDescent="0.15">
      <c r="A135" s="337"/>
      <c r="B135" s="337"/>
      <c r="C135" s="337"/>
      <c r="D135" s="337"/>
      <c r="E135" s="337"/>
      <c r="F135" s="337"/>
      <c r="G135" s="337"/>
      <c r="H135" s="337"/>
      <c r="I135" s="337"/>
      <c r="J135" s="337"/>
      <c r="K135" s="337"/>
      <c r="L135" s="337"/>
      <c r="M135" s="337"/>
      <c r="N135" s="337"/>
      <c r="O135" s="337"/>
      <c r="P135" s="337"/>
      <c r="Q135" s="337"/>
      <c r="R135" s="341"/>
      <c r="S135" s="341"/>
      <c r="T135" s="341"/>
      <c r="U135" s="341"/>
      <c r="V135" s="341"/>
      <c r="W135" s="341"/>
      <c r="X135" s="341"/>
      <c r="Y135" s="341"/>
      <c r="Z135" s="341"/>
      <c r="AA135" s="341"/>
      <c r="AB135" s="341"/>
      <c r="AC135" s="341"/>
      <c r="AD135" s="341"/>
      <c r="AE135" s="341"/>
      <c r="AF135" s="341"/>
      <c r="AG135" s="341"/>
      <c r="AH135" s="341"/>
      <c r="AI135" s="341"/>
      <c r="AJ135" s="341"/>
    </row>
    <row r="136" spans="1:36" x14ac:dyDescent="0.15">
      <c r="A136" s="337"/>
      <c r="B136" s="337"/>
      <c r="C136" s="337"/>
      <c r="D136" s="337"/>
      <c r="E136" s="337"/>
      <c r="F136" s="337"/>
      <c r="G136" s="337"/>
      <c r="H136" s="337"/>
      <c r="I136" s="337"/>
      <c r="J136" s="337"/>
      <c r="K136" s="337"/>
      <c r="L136" s="337"/>
      <c r="M136" s="337"/>
      <c r="N136" s="337"/>
      <c r="O136" s="337"/>
      <c r="P136" s="337"/>
      <c r="Q136" s="337"/>
      <c r="R136" s="341"/>
      <c r="S136" s="341"/>
      <c r="T136" s="341"/>
      <c r="U136" s="341"/>
      <c r="V136" s="341"/>
      <c r="W136" s="341"/>
      <c r="X136" s="341"/>
      <c r="Y136" s="341"/>
      <c r="Z136" s="341"/>
      <c r="AA136" s="341"/>
      <c r="AB136" s="341"/>
      <c r="AC136" s="341"/>
      <c r="AD136" s="341"/>
      <c r="AE136" s="341"/>
      <c r="AF136" s="341"/>
      <c r="AG136" s="341"/>
      <c r="AH136" s="341"/>
      <c r="AI136" s="341"/>
      <c r="AJ136" s="341"/>
    </row>
    <row r="137" spans="1:36" x14ac:dyDescent="0.15">
      <c r="A137" s="337"/>
      <c r="B137" s="337"/>
      <c r="C137" s="337"/>
      <c r="D137" s="337"/>
      <c r="E137" s="337"/>
      <c r="F137" s="337"/>
      <c r="G137" s="337"/>
      <c r="H137" s="337"/>
      <c r="I137" s="337"/>
      <c r="J137" s="337"/>
      <c r="K137" s="337"/>
      <c r="L137" s="337"/>
      <c r="M137" s="337"/>
      <c r="N137" s="337"/>
      <c r="O137" s="337"/>
      <c r="P137" s="337"/>
      <c r="Q137" s="337"/>
      <c r="R137" s="341"/>
      <c r="S137" s="341"/>
      <c r="T137" s="341"/>
      <c r="U137" s="341"/>
      <c r="V137" s="341"/>
      <c r="W137" s="341"/>
      <c r="X137" s="341"/>
      <c r="Y137" s="341"/>
      <c r="Z137" s="341"/>
      <c r="AA137" s="341"/>
      <c r="AB137" s="341"/>
      <c r="AC137" s="341"/>
      <c r="AD137" s="341"/>
      <c r="AE137" s="341"/>
      <c r="AF137" s="341"/>
      <c r="AG137" s="341"/>
      <c r="AH137" s="341"/>
      <c r="AI137" s="341"/>
      <c r="AJ137" s="341"/>
    </row>
    <row r="138" spans="1:36" x14ac:dyDescent="0.15">
      <c r="A138" s="337"/>
      <c r="B138" s="337"/>
      <c r="C138" s="337"/>
      <c r="D138" s="337"/>
      <c r="E138" s="337"/>
      <c r="F138" s="337"/>
      <c r="G138" s="337"/>
      <c r="H138" s="337"/>
      <c r="I138" s="337"/>
      <c r="J138" s="337"/>
      <c r="K138" s="337"/>
      <c r="L138" s="337"/>
      <c r="M138" s="337"/>
      <c r="N138" s="337"/>
      <c r="O138" s="337"/>
      <c r="P138" s="337"/>
      <c r="Q138" s="337"/>
      <c r="R138" s="341"/>
      <c r="S138" s="341"/>
      <c r="T138" s="341"/>
      <c r="U138" s="341"/>
      <c r="V138" s="341"/>
      <c r="W138" s="341"/>
      <c r="X138" s="341"/>
      <c r="Y138" s="341"/>
      <c r="Z138" s="341"/>
      <c r="AA138" s="341"/>
      <c r="AB138" s="341"/>
      <c r="AC138" s="341"/>
      <c r="AD138" s="341"/>
      <c r="AE138" s="341"/>
      <c r="AF138" s="341"/>
      <c r="AG138" s="341"/>
      <c r="AH138" s="341"/>
      <c r="AI138" s="341"/>
      <c r="AJ138" s="341"/>
    </row>
    <row r="139" spans="1:36" x14ac:dyDescent="0.15">
      <c r="A139" s="337"/>
      <c r="B139" s="337"/>
      <c r="C139" s="337"/>
      <c r="D139" s="337"/>
      <c r="E139" s="337"/>
      <c r="F139" s="337"/>
      <c r="G139" s="337"/>
      <c r="H139" s="337"/>
      <c r="I139" s="337"/>
      <c r="J139" s="337"/>
      <c r="K139" s="337"/>
      <c r="L139" s="337"/>
      <c r="M139" s="337"/>
      <c r="N139" s="337"/>
      <c r="O139" s="337"/>
      <c r="P139" s="337"/>
      <c r="Q139" s="337"/>
      <c r="R139" s="341"/>
      <c r="S139" s="341"/>
      <c r="T139" s="341"/>
      <c r="U139" s="341"/>
      <c r="V139" s="341"/>
      <c r="W139" s="341"/>
      <c r="X139" s="341"/>
      <c r="Y139" s="341"/>
      <c r="Z139" s="341"/>
      <c r="AA139" s="341"/>
      <c r="AB139" s="341"/>
      <c r="AC139" s="341"/>
      <c r="AD139" s="341"/>
      <c r="AE139" s="341"/>
      <c r="AF139" s="341"/>
      <c r="AG139" s="341"/>
      <c r="AH139" s="341"/>
      <c r="AI139" s="341"/>
      <c r="AJ139" s="341"/>
    </row>
    <row r="140" spans="1:36" x14ac:dyDescent="0.15">
      <c r="A140" s="337"/>
      <c r="B140" s="337"/>
      <c r="C140" s="337"/>
      <c r="D140" s="337"/>
      <c r="E140" s="337"/>
      <c r="F140" s="337"/>
      <c r="G140" s="337"/>
      <c r="H140" s="337"/>
      <c r="I140" s="337"/>
      <c r="J140" s="337"/>
      <c r="K140" s="337"/>
      <c r="L140" s="337"/>
      <c r="M140" s="337"/>
      <c r="N140" s="337"/>
      <c r="O140" s="337"/>
      <c r="P140" s="337"/>
      <c r="Q140" s="337"/>
      <c r="R140" s="341"/>
      <c r="S140" s="341"/>
      <c r="T140" s="341"/>
      <c r="U140" s="341"/>
      <c r="V140" s="341"/>
      <c r="W140" s="341"/>
      <c r="X140" s="341"/>
      <c r="Y140" s="341"/>
      <c r="Z140" s="341"/>
      <c r="AA140" s="341"/>
      <c r="AB140" s="341"/>
      <c r="AC140" s="341"/>
      <c r="AD140" s="341"/>
      <c r="AE140" s="341"/>
      <c r="AF140" s="341"/>
      <c r="AG140" s="341"/>
      <c r="AH140" s="341"/>
      <c r="AI140" s="341"/>
      <c r="AJ140" s="341"/>
    </row>
    <row r="141" spans="1:36" x14ac:dyDescent="0.15">
      <c r="A141" s="337"/>
      <c r="B141" s="337"/>
      <c r="C141" s="337"/>
      <c r="D141" s="337"/>
      <c r="E141" s="337"/>
      <c r="F141" s="337"/>
      <c r="G141" s="337"/>
      <c r="H141" s="337"/>
      <c r="I141" s="337"/>
      <c r="J141" s="337"/>
      <c r="K141" s="337"/>
      <c r="L141" s="337"/>
      <c r="M141" s="337"/>
      <c r="N141" s="337"/>
      <c r="O141" s="337"/>
      <c r="P141" s="337"/>
      <c r="Q141" s="337"/>
      <c r="R141" s="341"/>
      <c r="S141" s="341"/>
      <c r="T141" s="341"/>
      <c r="U141" s="341"/>
      <c r="V141" s="341"/>
      <c r="W141" s="341"/>
      <c r="X141" s="341"/>
      <c r="Y141" s="341"/>
      <c r="Z141" s="341"/>
      <c r="AA141" s="341"/>
      <c r="AB141" s="341"/>
      <c r="AC141" s="341"/>
      <c r="AD141" s="341"/>
      <c r="AE141" s="341"/>
      <c r="AF141" s="341"/>
      <c r="AG141" s="341"/>
      <c r="AH141" s="341"/>
      <c r="AI141" s="341"/>
      <c r="AJ141" s="341"/>
    </row>
    <row r="142" spans="1:36" x14ac:dyDescent="0.15">
      <c r="A142" s="337"/>
      <c r="B142" s="337"/>
      <c r="C142" s="337"/>
      <c r="D142" s="337"/>
      <c r="E142" s="337"/>
      <c r="F142" s="337"/>
      <c r="G142" s="337"/>
      <c r="H142" s="337"/>
      <c r="I142" s="337"/>
      <c r="J142" s="337"/>
      <c r="K142" s="337"/>
      <c r="L142" s="337"/>
      <c r="M142" s="337"/>
      <c r="N142" s="337"/>
      <c r="O142" s="337"/>
      <c r="P142" s="337"/>
      <c r="Q142" s="337"/>
      <c r="R142" s="341"/>
      <c r="S142" s="341"/>
      <c r="T142" s="341"/>
      <c r="U142" s="341"/>
      <c r="V142" s="341"/>
      <c r="W142" s="341"/>
      <c r="X142" s="341"/>
      <c r="Y142" s="341"/>
      <c r="Z142" s="341"/>
      <c r="AA142" s="341"/>
      <c r="AB142" s="341"/>
      <c r="AC142" s="341"/>
      <c r="AD142" s="341"/>
      <c r="AE142" s="341"/>
      <c r="AF142" s="341"/>
      <c r="AG142" s="341"/>
      <c r="AH142" s="341"/>
      <c r="AI142" s="341"/>
      <c r="AJ142" s="341"/>
    </row>
    <row r="143" spans="1:36" x14ac:dyDescent="0.15">
      <c r="A143" s="337"/>
      <c r="B143" s="337"/>
      <c r="C143" s="337"/>
      <c r="D143" s="337"/>
      <c r="E143" s="337"/>
      <c r="F143" s="337"/>
      <c r="G143" s="337"/>
      <c r="H143" s="337"/>
      <c r="I143" s="337"/>
      <c r="J143" s="337"/>
      <c r="K143" s="337"/>
      <c r="L143" s="337"/>
      <c r="M143" s="337"/>
      <c r="N143" s="337"/>
      <c r="O143" s="337"/>
      <c r="P143" s="337"/>
      <c r="Q143" s="337"/>
      <c r="R143" s="341"/>
      <c r="S143" s="341"/>
      <c r="T143" s="341"/>
      <c r="U143" s="341"/>
      <c r="V143" s="341"/>
      <c r="W143" s="341"/>
      <c r="X143" s="341"/>
      <c r="Y143" s="341"/>
      <c r="Z143" s="341"/>
      <c r="AA143" s="341"/>
      <c r="AB143" s="341"/>
      <c r="AC143" s="341"/>
      <c r="AD143" s="341"/>
      <c r="AE143" s="341"/>
      <c r="AF143" s="341"/>
      <c r="AG143" s="341"/>
      <c r="AH143" s="341"/>
      <c r="AI143" s="341"/>
      <c r="AJ143" s="341"/>
    </row>
    <row r="144" spans="1:36" x14ac:dyDescent="0.15">
      <c r="A144" s="337"/>
      <c r="B144" s="337"/>
      <c r="C144" s="337"/>
      <c r="D144" s="337"/>
      <c r="E144" s="337"/>
      <c r="F144" s="337"/>
      <c r="G144" s="337"/>
      <c r="H144" s="337"/>
      <c r="I144" s="337"/>
      <c r="J144" s="337"/>
      <c r="K144" s="337"/>
      <c r="L144" s="337"/>
      <c r="M144" s="337"/>
      <c r="N144" s="337"/>
      <c r="O144" s="337"/>
      <c r="P144" s="337"/>
      <c r="Q144" s="337"/>
      <c r="R144" s="341"/>
      <c r="S144" s="341"/>
      <c r="T144" s="341"/>
      <c r="U144" s="341"/>
      <c r="V144" s="341"/>
      <c r="W144" s="341"/>
      <c r="X144" s="341"/>
      <c r="Y144" s="341"/>
      <c r="Z144" s="341"/>
      <c r="AA144" s="341"/>
      <c r="AB144" s="341"/>
      <c r="AC144" s="341"/>
      <c r="AD144" s="341"/>
      <c r="AE144" s="341"/>
      <c r="AF144" s="341"/>
      <c r="AG144" s="341"/>
      <c r="AH144" s="341"/>
      <c r="AI144" s="341"/>
      <c r="AJ144" s="341"/>
    </row>
    <row r="145" spans="1:36" x14ac:dyDescent="0.15">
      <c r="A145" s="337"/>
      <c r="B145" s="337"/>
      <c r="C145" s="337"/>
      <c r="D145" s="337"/>
      <c r="E145" s="337"/>
      <c r="F145" s="337"/>
      <c r="G145" s="337"/>
      <c r="H145" s="337"/>
      <c r="I145" s="337"/>
      <c r="J145" s="337"/>
      <c r="K145" s="337"/>
      <c r="L145" s="337"/>
      <c r="M145" s="337"/>
      <c r="N145" s="337"/>
      <c r="O145" s="337"/>
      <c r="P145" s="337"/>
      <c r="Q145" s="337"/>
      <c r="R145" s="341"/>
      <c r="S145" s="341"/>
      <c r="T145" s="341"/>
      <c r="U145" s="341"/>
      <c r="V145" s="341"/>
      <c r="W145" s="341"/>
      <c r="X145" s="341"/>
      <c r="Y145" s="341"/>
      <c r="Z145" s="341"/>
      <c r="AA145" s="341"/>
      <c r="AB145" s="341"/>
      <c r="AC145" s="341"/>
      <c r="AD145" s="341"/>
      <c r="AE145" s="341"/>
      <c r="AF145" s="341"/>
      <c r="AG145" s="341"/>
      <c r="AH145" s="341"/>
      <c r="AI145" s="341"/>
      <c r="AJ145" s="341"/>
    </row>
    <row r="146" spans="1:36" x14ac:dyDescent="0.15">
      <c r="A146" s="337"/>
      <c r="B146" s="337"/>
      <c r="C146" s="337"/>
      <c r="D146" s="337"/>
      <c r="E146" s="337"/>
      <c r="F146" s="337"/>
      <c r="G146" s="337"/>
      <c r="H146" s="337"/>
      <c r="I146" s="337"/>
      <c r="J146" s="337"/>
      <c r="K146" s="337"/>
      <c r="L146" s="337"/>
      <c r="M146" s="337"/>
      <c r="N146" s="337"/>
      <c r="O146" s="337"/>
      <c r="P146" s="337"/>
      <c r="Q146" s="337"/>
      <c r="R146" s="341"/>
      <c r="S146" s="341"/>
      <c r="T146" s="341"/>
      <c r="U146" s="341"/>
      <c r="V146" s="341"/>
      <c r="W146" s="341"/>
      <c r="X146" s="341"/>
      <c r="Y146" s="341"/>
      <c r="Z146" s="341"/>
      <c r="AA146" s="341"/>
      <c r="AB146" s="341"/>
      <c r="AC146" s="341"/>
      <c r="AD146" s="341"/>
      <c r="AE146" s="341"/>
      <c r="AF146" s="341"/>
      <c r="AG146" s="341"/>
      <c r="AH146" s="341"/>
      <c r="AI146" s="341"/>
      <c r="AJ146" s="341"/>
    </row>
    <row r="147" spans="1:36" x14ac:dyDescent="0.15">
      <c r="A147" s="337"/>
      <c r="B147" s="337"/>
      <c r="C147" s="337"/>
      <c r="D147" s="337"/>
      <c r="E147" s="337"/>
      <c r="F147" s="337"/>
      <c r="G147" s="337"/>
      <c r="H147" s="337"/>
      <c r="I147" s="337"/>
      <c r="J147" s="337"/>
      <c r="K147" s="337"/>
      <c r="L147" s="337"/>
      <c r="M147" s="337"/>
      <c r="N147" s="337"/>
      <c r="O147" s="337"/>
      <c r="P147" s="337"/>
      <c r="Q147" s="337"/>
      <c r="R147" s="341"/>
      <c r="S147" s="341"/>
      <c r="T147" s="341"/>
      <c r="U147" s="341"/>
      <c r="V147" s="341"/>
      <c r="W147" s="341"/>
      <c r="X147" s="341"/>
      <c r="Y147" s="341"/>
      <c r="Z147" s="341"/>
      <c r="AA147" s="341"/>
      <c r="AB147" s="341"/>
      <c r="AC147" s="341"/>
      <c r="AD147" s="341"/>
      <c r="AE147" s="341"/>
      <c r="AF147" s="341"/>
      <c r="AG147" s="341"/>
      <c r="AH147" s="341"/>
      <c r="AI147" s="341"/>
      <c r="AJ147" s="341"/>
    </row>
    <row r="148" spans="1:36" x14ac:dyDescent="0.15">
      <c r="A148" s="337"/>
      <c r="B148" s="337"/>
      <c r="C148" s="337"/>
      <c r="D148" s="337"/>
      <c r="E148" s="337"/>
      <c r="F148" s="337"/>
      <c r="G148" s="337"/>
      <c r="H148" s="337"/>
      <c r="I148" s="337"/>
      <c r="J148" s="337"/>
      <c r="K148" s="337"/>
      <c r="L148" s="337"/>
      <c r="M148" s="337"/>
      <c r="N148" s="337"/>
      <c r="O148" s="337"/>
      <c r="P148" s="337"/>
      <c r="Q148" s="337"/>
      <c r="R148" s="341"/>
      <c r="S148" s="341"/>
      <c r="T148" s="341"/>
      <c r="U148" s="341"/>
      <c r="V148" s="341"/>
      <c r="W148" s="341"/>
      <c r="X148" s="341"/>
      <c r="Y148" s="341"/>
      <c r="Z148" s="341"/>
      <c r="AA148" s="341"/>
      <c r="AB148" s="341"/>
      <c r="AC148" s="341"/>
      <c r="AD148" s="341"/>
      <c r="AE148" s="341"/>
      <c r="AF148" s="341"/>
      <c r="AG148" s="341"/>
      <c r="AH148" s="341"/>
      <c r="AI148" s="341"/>
      <c r="AJ148" s="341"/>
    </row>
    <row r="149" spans="1:36" x14ac:dyDescent="0.15">
      <c r="A149" s="337"/>
      <c r="B149" s="337"/>
      <c r="C149" s="337"/>
      <c r="D149" s="337"/>
      <c r="E149" s="337"/>
      <c r="F149" s="337"/>
      <c r="G149" s="337"/>
      <c r="H149" s="337"/>
      <c r="I149" s="337"/>
      <c r="J149" s="337"/>
      <c r="K149" s="337"/>
      <c r="L149" s="337"/>
      <c r="M149" s="337"/>
      <c r="N149" s="337"/>
      <c r="O149" s="337"/>
      <c r="P149" s="337"/>
      <c r="Q149" s="337"/>
      <c r="R149" s="341"/>
      <c r="S149" s="341"/>
      <c r="T149" s="341"/>
      <c r="U149" s="341"/>
      <c r="V149" s="341"/>
      <c r="W149" s="341"/>
      <c r="X149" s="341"/>
      <c r="Y149" s="341"/>
      <c r="Z149" s="341"/>
      <c r="AA149" s="341"/>
      <c r="AB149" s="341"/>
      <c r="AC149" s="341"/>
      <c r="AD149" s="341"/>
      <c r="AE149" s="341"/>
      <c r="AF149" s="341"/>
      <c r="AG149" s="341"/>
      <c r="AH149" s="341"/>
      <c r="AI149" s="341"/>
      <c r="AJ149" s="341"/>
    </row>
    <row r="150" spans="1:36" x14ac:dyDescent="0.15">
      <c r="A150" s="337"/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7"/>
      <c r="Q150" s="337"/>
      <c r="R150" s="341"/>
      <c r="S150" s="341"/>
      <c r="T150" s="341"/>
      <c r="U150" s="341"/>
      <c r="V150" s="341"/>
      <c r="W150" s="341"/>
      <c r="X150" s="341"/>
      <c r="Y150" s="341"/>
      <c r="Z150" s="341"/>
      <c r="AA150" s="341"/>
      <c r="AB150" s="341"/>
      <c r="AC150" s="341"/>
      <c r="AD150" s="341"/>
      <c r="AE150" s="341"/>
      <c r="AF150" s="341"/>
      <c r="AG150" s="341"/>
      <c r="AH150" s="341"/>
      <c r="AI150" s="341"/>
      <c r="AJ150" s="341"/>
    </row>
    <row r="151" spans="1:36" x14ac:dyDescent="0.15">
      <c r="A151" s="337"/>
      <c r="B151" s="337"/>
      <c r="C151" s="337"/>
      <c r="D151" s="337"/>
      <c r="E151" s="337"/>
      <c r="F151" s="337"/>
      <c r="G151" s="337"/>
      <c r="H151" s="337"/>
      <c r="I151" s="337"/>
      <c r="J151" s="337"/>
      <c r="K151" s="337"/>
      <c r="L151" s="337"/>
      <c r="M151" s="337"/>
      <c r="N151" s="337"/>
      <c r="O151" s="337"/>
      <c r="P151" s="337"/>
      <c r="Q151" s="337"/>
      <c r="R151" s="341"/>
      <c r="S151" s="341"/>
      <c r="T151" s="341"/>
      <c r="U151" s="341"/>
      <c r="V151" s="341"/>
      <c r="W151" s="341"/>
      <c r="X151" s="341"/>
      <c r="Y151" s="341"/>
      <c r="Z151" s="341"/>
      <c r="AA151" s="341"/>
      <c r="AB151" s="341"/>
      <c r="AC151" s="341"/>
      <c r="AD151" s="341"/>
      <c r="AE151" s="341"/>
      <c r="AF151" s="341"/>
      <c r="AG151" s="341"/>
      <c r="AH151" s="341"/>
      <c r="AI151" s="341"/>
      <c r="AJ151" s="341"/>
    </row>
    <row r="152" spans="1:36" x14ac:dyDescent="0.15">
      <c r="A152" s="337"/>
      <c r="B152" s="337"/>
      <c r="C152" s="337"/>
      <c r="D152" s="337"/>
      <c r="E152" s="337"/>
      <c r="F152" s="337"/>
      <c r="G152" s="337"/>
      <c r="H152" s="337"/>
      <c r="I152" s="337"/>
      <c r="J152" s="337"/>
      <c r="K152" s="337"/>
      <c r="L152" s="337"/>
      <c r="M152" s="337"/>
      <c r="N152" s="337"/>
      <c r="O152" s="337"/>
      <c r="P152" s="337"/>
      <c r="Q152" s="337"/>
      <c r="R152" s="341"/>
      <c r="S152" s="341"/>
      <c r="T152" s="341"/>
      <c r="U152" s="341"/>
      <c r="V152" s="341"/>
      <c r="W152" s="341"/>
      <c r="X152" s="341"/>
      <c r="Y152" s="341"/>
      <c r="Z152" s="341"/>
      <c r="AA152" s="341"/>
      <c r="AB152" s="341"/>
      <c r="AC152" s="341"/>
      <c r="AD152" s="341"/>
      <c r="AE152" s="341"/>
      <c r="AF152" s="341"/>
      <c r="AG152" s="341"/>
      <c r="AH152" s="341"/>
      <c r="AI152" s="341"/>
      <c r="AJ152" s="341"/>
    </row>
    <row r="153" spans="1:36" x14ac:dyDescent="0.15">
      <c r="A153" s="337"/>
      <c r="B153" s="337"/>
      <c r="C153" s="337"/>
      <c r="D153" s="337"/>
      <c r="E153" s="337"/>
      <c r="F153" s="337"/>
      <c r="G153" s="337"/>
      <c r="H153" s="337"/>
      <c r="I153" s="337"/>
      <c r="J153" s="337"/>
      <c r="K153" s="337"/>
      <c r="L153" s="337"/>
      <c r="M153" s="337"/>
      <c r="N153" s="337"/>
      <c r="O153" s="337"/>
      <c r="P153" s="337"/>
      <c r="Q153" s="337"/>
      <c r="R153" s="341"/>
      <c r="S153" s="341"/>
      <c r="T153" s="341"/>
      <c r="U153" s="341"/>
      <c r="V153" s="341"/>
      <c r="W153" s="341"/>
      <c r="X153" s="341"/>
      <c r="Y153" s="341"/>
      <c r="Z153" s="341"/>
      <c r="AA153" s="341"/>
      <c r="AB153" s="341"/>
      <c r="AC153" s="341"/>
      <c r="AD153" s="341"/>
      <c r="AE153" s="341"/>
      <c r="AF153" s="341"/>
      <c r="AG153" s="341"/>
      <c r="AH153" s="341"/>
      <c r="AI153" s="341"/>
      <c r="AJ153" s="341"/>
    </row>
    <row r="154" spans="1:36" x14ac:dyDescent="0.15">
      <c r="A154" s="337"/>
      <c r="B154" s="337"/>
      <c r="C154" s="337"/>
      <c r="D154" s="337"/>
      <c r="E154" s="337"/>
      <c r="F154" s="337"/>
      <c r="G154" s="337"/>
      <c r="H154" s="337"/>
      <c r="I154" s="337"/>
      <c r="J154" s="337"/>
      <c r="K154" s="337"/>
      <c r="L154" s="337"/>
      <c r="M154" s="337"/>
      <c r="N154" s="337"/>
      <c r="O154" s="337"/>
      <c r="P154" s="337"/>
      <c r="Q154" s="337"/>
      <c r="R154" s="341"/>
      <c r="S154" s="341"/>
      <c r="T154" s="341"/>
      <c r="U154" s="341"/>
      <c r="V154" s="341"/>
      <c r="W154" s="341"/>
      <c r="X154" s="341"/>
      <c r="Y154" s="341"/>
      <c r="Z154" s="341"/>
      <c r="AA154" s="341"/>
      <c r="AB154" s="341"/>
      <c r="AC154" s="341"/>
      <c r="AD154" s="341"/>
      <c r="AE154" s="341"/>
      <c r="AF154" s="341"/>
      <c r="AG154" s="341"/>
      <c r="AH154" s="341"/>
      <c r="AI154" s="341"/>
      <c r="AJ154" s="341"/>
    </row>
    <row r="155" spans="1:36" x14ac:dyDescent="0.15">
      <c r="A155" s="337"/>
      <c r="B155" s="337"/>
      <c r="C155" s="337"/>
      <c r="D155" s="337"/>
      <c r="E155" s="337"/>
      <c r="F155" s="337"/>
      <c r="G155" s="337"/>
      <c r="H155" s="337"/>
      <c r="I155" s="337"/>
      <c r="J155" s="337"/>
      <c r="K155" s="337"/>
      <c r="L155" s="337"/>
      <c r="M155" s="337"/>
      <c r="N155" s="337"/>
      <c r="O155" s="337"/>
      <c r="P155" s="337"/>
      <c r="Q155" s="337"/>
      <c r="R155" s="341"/>
      <c r="S155" s="341"/>
      <c r="T155" s="341"/>
      <c r="U155" s="341"/>
      <c r="V155" s="341"/>
      <c r="W155" s="341"/>
      <c r="X155" s="341"/>
      <c r="Y155" s="341"/>
      <c r="Z155" s="341"/>
      <c r="AA155" s="341"/>
      <c r="AB155" s="341"/>
      <c r="AC155" s="341"/>
      <c r="AD155" s="341"/>
      <c r="AE155" s="341"/>
      <c r="AF155" s="341"/>
      <c r="AG155" s="341"/>
      <c r="AH155" s="341"/>
      <c r="AI155" s="341"/>
      <c r="AJ155" s="341"/>
    </row>
  </sheetData>
  <mergeCells count="2">
    <mergeCell ref="B2:R5"/>
    <mergeCell ref="D7:R7"/>
  </mergeCells>
  <phoneticPr fontId="4" type="noConversion"/>
  <conditionalFormatting sqref="K22:N22">
    <cfRule type="expression" dxfId="19" priority="13" stopIfTrue="1">
      <formula>AND(#REF!="··&gt;",L22&lt;&gt;"··&gt;")</formula>
    </cfRule>
    <cfRule type="cellIs" dxfId="18" priority="14" stopIfTrue="1" operator="equal">
      <formula>#REF!</formula>
    </cfRule>
  </conditionalFormatting>
  <conditionalFormatting sqref="O22">
    <cfRule type="expression" dxfId="15" priority="17" stopIfTrue="1">
      <formula>"---"</formula>
    </cfRule>
  </conditionalFormatting>
  <conditionalFormatting sqref="K39:N39">
    <cfRule type="expression" dxfId="14" priority="10" stopIfTrue="1">
      <formula>AND(#REF!="··&gt;",L39&lt;&gt;"··&gt;")</formula>
    </cfRule>
    <cfRule type="cellIs" dxfId="13" priority="11" stopIfTrue="1" operator="equal">
      <formula>#REF!</formula>
    </cfRule>
  </conditionalFormatting>
  <conditionalFormatting sqref="O39">
    <cfRule type="expression" dxfId="12" priority="12" stopIfTrue="1">
      <formula>"---"</formula>
    </cfRule>
  </conditionalFormatting>
  <conditionalFormatting sqref="K56:N56">
    <cfRule type="expression" dxfId="8" priority="7" stopIfTrue="1">
      <formula>AND(#REF!="··&gt;",L56&lt;&gt;"··&gt;")</formula>
    </cfRule>
    <cfRule type="cellIs" dxfId="7" priority="8" stopIfTrue="1" operator="equal">
      <formula>#REF!</formula>
    </cfRule>
  </conditionalFormatting>
  <conditionalFormatting sqref="O56">
    <cfRule type="expression" dxfId="6" priority="9" stopIfTrue="1">
      <formula>"---"</formula>
    </cfRule>
  </conditionalFormatting>
  <conditionalFormatting sqref="K73:N73">
    <cfRule type="expression" dxfId="5" priority="4" stopIfTrue="1">
      <formula>AND(#REF!="··&gt;",L73&lt;&gt;"··&gt;")</formula>
    </cfRule>
    <cfRule type="cellIs" dxfId="4" priority="5" stopIfTrue="1" operator="equal">
      <formula>#REF!</formula>
    </cfRule>
  </conditionalFormatting>
  <conditionalFormatting sqref="O73">
    <cfRule type="expression" dxfId="3" priority="6" stopIfTrue="1">
      <formula>"---"</formula>
    </cfRule>
  </conditionalFormatting>
  <conditionalFormatting sqref="K90:N90">
    <cfRule type="expression" dxfId="2" priority="1" stopIfTrue="1">
      <formula>AND(#REF!="··&gt;",L90&lt;&gt;"··&gt;")</formula>
    </cfRule>
    <cfRule type="cellIs" dxfId="1" priority="2" stopIfTrue="1" operator="equal">
      <formula>#REF!</formula>
    </cfRule>
  </conditionalFormatting>
  <conditionalFormatting sqref="O90">
    <cfRule type="expression" dxfId="0" priority="3" stopIfTrue="1">
      <formula>"---"</formula>
    </cfRule>
  </conditionalFormatting>
  <printOptions horizontalCentered="1"/>
  <pageMargins left="0.11811023622047245" right="0.11811023622047245" top="0.39370078740157483" bottom="0.39370078740157483" header="0.19685039370078741" footer="0.19685039370078741"/>
  <pageSetup paperSize="9" scale="53" orientation="portrait" r:id="rId1"/>
  <headerFooter>
    <oddHeader>&amp;L&amp;F&amp;R&amp;A</oddHeader>
    <oddFooter>&amp;CPágina &amp;P de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6"/>
  <sheetViews>
    <sheetView zoomScaleNormal="100" workbookViewId="0">
      <selection activeCell="M12" sqref="M12"/>
    </sheetView>
  </sheetViews>
  <sheetFormatPr baseColWidth="10" defaultColWidth="11" defaultRowHeight="12" x14ac:dyDescent="0.15"/>
  <cols>
    <col min="1" max="1" width="25.6640625" style="257" customWidth="1"/>
    <col min="2" max="2" width="23.1640625" style="257" customWidth="1"/>
    <col min="3" max="3" width="15.1640625" style="255" customWidth="1"/>
    <col min="4" max="4" width="14.1640625" style="256" bestFit="1" customWidth="1"/>
    <col min="5" max="5" width="12.6640625" style="256" bestFit="1" customWidth="1"/>
    <col min="6" max="6" width="11.33203125" style="256" bestFit="1" customWidth="1"/>
    <col min="7" max="7" width="11" style="257"/>
    <col min="8" max="8" width="9" style="257" customWidth="1"/>
    <col min="9" max="9" width="18.5" style="258" customWidth="1"/>
    <col min="10" max="10" width="12" style="258" customWidth="1"/>
    <col min="11" max="11" width="11.6640625" style="258" bestFit="1" customWidth="1"/>
    <col min="12" max="12" width="12.6640625" style="258" bestFit="1" customWidth="1"/>
    <col min="13" max="16384" width="11" style="257"/>
  </cols>
  <sheetData>
    <row r="1" spans="1:12" ht="19" x14ac:dyDescent="0.25">
      <c r="A1" s="278" t="s">
        <v>101</v>
      </c>
      <c r="B1" s="244"/>
    </row>
    <row r="2" spans="1:12" x14ac:dyDescent="0.15">
      <c r="A2" s="244"/>
      <c r="B2" s="244"/>
    </row>
    <row r="3" spans="1:12" x14ac:dyDescent="0.15">
      <c r="A3" s="245"/>
      <c r="B3" s="244"/>
    </row>
    <row r="4" spans="1:12" x14ac:dyDescent="0.15">
      <c r="A4" s="244"/>
      <c r="B4" s="244"/>
    </row>
    <row r="5" spans="1:12" x14ac:dyDescent="0.15">
      <c r="C5" s="246" t="s">
        <v>103</v>
      </c>
    </row>
    <row r="6" spans="1:12" x14ac:dyDescent="0.15">
      <c r="C6" s="254" t="s">
        <v>117</v>
      </c>
      <c r="D6" s="251" t="s">
        <v>104</v>
      </c>
      <c r="E6" s="251" t="s">
        <v>105</v>
      </c>
      <c r="F6" s="252"/>
    </row>
    <row r="7" spans="1:12" ht="16" x14ac:dyDescent="0.2">
      <c r="A7" s="277" t="s">
        <v>139</v>
      </c>
      <c r="C7" s="254">
        <v>600000</v>
      </c>
      <c r="D7" s="251">
        <v>1400000</v>
      </c>
      <c r="E7" s="251">
        <v>3500000</v>
      </c>
      <c r="F7" s="252"/>
    </row>
    <row r="8" spans="1:12" x14ac:dyDescent="0.15">
      <c r="H8" s="247" t="s">
        <v>118</v>
      </c>
    </row>
    <row r="9" spans="1:12" x14ac:dyDescent="0.15">
      <c r="A9" s="259" t="s">
        <v>119</v>
      </c>
      <c r="B9" s="259"/>
      <c r="C9" s="260" t="s">
        <v>117</v>
      </c>
      <c r="D9" s="251" t="s">
        <v>104</v>
      </c>
      <c r="E9" s="251" t="s">
        <v>105</v>
      </c>
      <c r="F9" s="251" t="s">
        <v>106</v>
      </c>
      <c r="H9" s="245"/>
      <c r="I9" s="253"/>
    </row>
    <row r="10" spans="1:12" x14ac:dyDescent="0.15">
      <c r="A10" s="259" t="s">
        <v>120</v>
      </c>
      <c r="B10" s="259"/>
      <c r="C10" s="254">
        <v>20000</v>
      </c>
      <c r="D10" s="251">
        <v>7000</v>
      </c>
      <c r="E10" s="251">
        <v>7000</v>
      </c>
      <c r="F10" s="251">
        <v>7000</v>
      </c>
      <c r="I10" s="261" t="s">
        <v>121</v>
      </c>
      <c r="J10" s="251" t="s">
        <v>104</v>
      </c>
      <c r="K10" s="251" t="s">
        <v>105</v>
      </c>
      <c r="L10" s="251" t="s">
        <v>106</v>
      </c>
    </row>
    <row r="11" spans="1:12" x14ac:dyDescent="0.15">
      <c r="A11" s="259" t="s">
        <v>122</v>
      </c>
      <c r="B11" s="259" t="s">
        <v>82</v>
      </c>
      <c r="C11" s="254">
        <v>48000</v>
      </c>
      <c r="D11" s="251" t="s">
        <v>140</v>
      </c>
      <c r="E11" s="251">
        <v>24000</v>
      </c>
      <c r="F11" s="251" t="s">
        <v>140</v>
      </c>
      <c r="H11" s="333" t="s">
        <v>96</v>
      </c>
      <c r="I11" s="311">
        <v>3</v>
      </c>
      <c r="J11" s="262">
        <f>$I$11*C7</f>
        <v>1800000</v>
      </c>
      <c r="K11" s="262">
        <f>($D$7-$C$7)*I11</f>
        <v>2400000</v>
      </c>
      <c r="L11" s="262">
        <f>($E$7-$D$7)*I11</f>
        <v>6300000</v>
      </c>
    </row>
    <row r="12" spans="1:12" x14ac:dyDescent="0.15">
      <c r="A12" s="259"/>
      <c r="B12" s="259" t="s">
        <v>123</v>
      </c>
      <c r="C12" s="254">
        <v>60000</v>
      </c>
      <c r="D12" s="251" t="s">
        <v>140</v>
      </c>
      <c r="E12" s="251">
        <v>60000</v>
      </c>
      <c r="F12" s="251" t="s">
        <v>140</v>
      </c>
      <c r="H12" s="334"/>
      <c r="I12" s="312">
        <v>5</v>
      </c>
      <c r="J12" s="312">
        <f>$I$12*C7</f>
        <v>3000000</v>
      </c>
      <c r="K12" s="312">
        <f>($D$7-$C$7)*I12</f>
        <v>4000000</v>
      </c>
      <c r="L12" s="312">
        <f t="shared" ref="L12" si="0">($E$7-$D$7)*I12</f>
        <v>10500000</v>
      </c>
    </row>
    <row r="13" spans="1:12" x14ac:dyDescent="0.15">
      <c r="A13" s="259"/>
      <c r="B13" s="259" t="s">
        <v>84</v>
      </c>
      <c r="C13" s="254">
        <v>500000</v>
      </c>
      <c r="D13" s="251">
        <v>50000</v>
      </c>
      <c r="E13" s="251">
        <v>50000</v>
      </c>
      <c r="F13" s="251" t="s">
        <v>140</v>
      </c>
      <c r="H13" s="263" t="s">
        <v>136</v>
      </c>
      <c r="I13" s="264"/>
      <c r="J13" s="265">
        <v>180000</v>
      </c>
      <c r="K13" s="265">
        <v>210000</v>
      </c>
      <c r="L13" s="265">
        <v>250000</v>
      </c>
    </row>
    <row r="14" spans="1:12" x14ac:dyDescent="0.15">
      <c r="A14" s="259"/>
      <c r="B14" s="259" t="s">
        <v>85</v>
      </c>
      <c r="C14" s="254">
        <v>500000</v>
      </c>
      <c r="D14" s="251">
        <v>20000</v>
      </c>
      <c r="E14" s="251">
        <v>20000</v>
      </c>
      <c r="F14" s="251" t="s">
        <v>140</v>
      </c>
    </row>
    <row r="15" spans="1:12" x14ac:dyDescent="0.15">
      <c r="A15" s="259"/>
      <c r="B15" s="259" t="s">
        <v>116</v>
      </c>
      <c r="C15" s="254">
        <v>300000</v>
      </c>
      <c r="D15" s="251" t="s">
        <v>140</v>
      </c>
      <c r="E15" s="251" t="s">
        <v>140</v>
      </c>
      <c r="F15" s="251" t="s">
        <v>140</v>
      </c>
    </row>
    <row r="16" spans="1:12" x14ac:dyDescent="0.15">
      <c r="A16" s="259" t="s">
        <v>137</v>
      </c>
      <c r="B16" s="259"/>
      <c r="C16" s="254">
        <v>150000</v>
      </c>
      <c r="D16" s="251">
        <v>150000</v>
      </c>
      <c r="E16" s="251">
        <v>150000</v>
      </c>
      <c r="F16" s="251">
        <v>150000</v>
      </c>
    </row>
    <row r="17" spans="1:13" x14ac:dyDescent="0.15">
      <c r="A17" s="259" t="s">
        <v>91</v>
      </c>
      <c r="B17" s="259"/>
      <c r="C17" s="254">
        <v>15000</v>
      </c>
      <c r="D17" s="251"/>
      <c r="E17" s="251"/>
      <c r="F17" s="251"/>
    </row>
    <row r="18" spans="1:13" x14ac:dyDescent="0.15">
      <c r="A18" s="259"/>
      <c r="B18" s="259"/>
      <c r="C18" s="254">
        <f>SUM(C10:C16)</f>
        <v>1578000</v>
      </c>
      <c r="D18" s="254">
        <f>SUM(D10:D16)</f>
        <v>227000</v>
      </c>
      <c r="E18" s="254">
        <f>SUM(E10:E16)</f>
        <v>311000</v>
      </c>
      <c r="F18" s="254">
        <f>SUM(F10:F16)</f>
        <v>157000</v>
      </c>
      <c r="H18" s="335" t="s">
        <v>119</v>
      </c>
      <c r="I18" s="336"/>
      <c r="J18" s="260" t="s">
        <v>117</v>
      </c>
      <c r="K18" s="251" t="s">
        <v>104</v>
      </c>
      <c r="L18" s="251" t="s">
        <v>105</v>
      </c>
      <c r="M18" s="251" t="s">
        <v>106</v>
      </c>
    </row>
    <row r="19" spans="1:13" x14ac:dyDescent="0.15">
      <c r="C19" s="257"/>
      <c r="D19" s="257"/>
      <c r="E19" s="257"/>
      <c r="F19" s="257"/>
      <c r="H19" s="259" t="s">
        <v>88</v>
      </c>
      <c r="I19" s="259"/>
      <c r="J19" s="254">
        <v>60000</v>
      </c>
      <c r="K19" s="251">
        <v>100000</v>
      </c>
      <c r="L19" s="251">
        <v>120000</v>
      </c>
      <c r="M19" s="251">
        <v>150000</v>
      </c>
    </row>
    <row r="20" spans="1:13" x14ac:dyDescent="0.15">
      <c r="A20" s="268"/>
      <c r="B20" s="249"/>
      <c r="C20" s="269"/>
      <c r="D20" s="252"/>
      <c r="E20" s="257"/>
      <c r="F20" s="257"/>
      <c r="H20" s="266" t="s">
        <v>89</v>
      </c>
      <c r="I20" s="259"/>
      <c r="J20" s="254">
        <v>24000</v>
      </c>
      <c r="K20" s="251">
        <v>24000</v>
      </c>
      <c r="L20" s="251">
        <v>24000</v>
      </c>
      <c r="M20" s="251">
        <v>24000</v>
      </c>
    </row>
    <row r="21" spans="1:13" x14ac:dyDescent="0.15">
      <c r="A21" s="247" t="s">
        <v>124</v>
      </c>
      <c r="C21" s="257"/>
      <c r="D21" s="258"/>
      <c r="E21" s="257"/>
      <c r="F21" s="257"/>
      <c r="H21" s="266" t="s">
        <v>138</v>
      </c>
      <c r="I21" s="259"/>
      <c r="J21" s="254">
        <v>15000</v>
      </c>
      <c r="K21" s="251">
        <v>15000</v>
      </c>
      <c r="L21" s="251">
        <v>15000</v>
      </c>
      <c r="M21" s="251">
        <v>15000</v>
      </c>
    </row>
    <row r="22" spans="1:13" x14ac:dyDescent="0.15">
      <c r="A22" s="260" t="s">
        <v>125</v>
      </c>
      <c r="B22" s="260" t="s">
        <v>126</v>
      </c>
      <c r="C22" s="260" t="s">
        <v>127</v>
      </c>
      <c r="D22" s="251" t="s">
        <v>128</v>
      </c>
      <c r="E22" s="252"/>
      <c r="F22" s="252"/>
    </row>
    <row r="23" spans="1:13" x14ac:dyDescent="0.15">
      <c r="A23" s="271" t="s">
        <v>129</v>
      </c>
      <c r="B23" s="272">
        <v>2</v>
      </c>
      <c r="C23" s="273">
        <v>40000</v>
      </c>
      <c r="D23" s="274">
        <f>B23*C23</f>
        <v>80000</v>
      </c>
      <c r="E23" s="252"/>
      <c r="F23" s="252"/>
      <c r="H23" s="270"/>
    </row>
    <row r="24" spans="1:13" x14ac:dyDescent="0.15">
      <c r="A24" s="271" t="s">
        <v>130</v>
      </c>
      <c r="B24" s="272">
        <v>1</v>
      </c>
      <c r="C24" s="273">
        <v>60000</v>
      </c>
      <c r="D24" s="274">
        <f t="shared" ref="D24:D27" si="1">B24*C24</f>
        <v>60000</v>
      </c>
      <c r="E24" s="252"/>
      <c r="F24" s="252"/>
    </row>
    <row r="25" spans="1:13" x14ac:dyDescent="0.15">
      <c r="A25" s="271" t="s">
        <v>131</v>
      </c>
      <c r="B25" s="272">
        <v>1</v>
      </c>
      <c r="C25" s="273">
        <v>80000</v>
      </c>
      <c r="D25" s="274">
        <f t="shared" si="1"/>
        <v>80000</v>
      </c>
      <c r="E25" s="252"/>
      <c r="F25" s="252"/>
    </row>
    <row r="26" spans="1:13" x14ac:dyDescent="0.15">
      <c r="A26" s="271" t="s">
        <v>132</v>
      </c>
      <c r="B26" s="272">
        <v>1</v>
      </c>
      <c r="C26" s="273">
        <v>50000</v>
      </c>
      <c r="D26" s="274">
        <f t="shared" si="1"/>
        <v>50000</v>
      </c>
      <c r="E26" s="252"/>
      <c r="F26" s="252"/>
    </row>
    <row r="27" spans="1:13" x14ac:dyDescent="0.15">
      <c r="A27" s="271" t="s">
        <v>133</v>
      </c>
      <c r="B27" s="272">
        <v>2</v>
      </c>
      <c r="C27" s="273">
        <v>40000</v>
      </c>
      <c r="D27" s="274">
        <f t="shared" si="1"/>
        <v>80000</v>
      </c>
      <c r="E27" s="252"/>
      <c r="F27" s="252"/>
    </row>
    <row r="28" spans="1:13" x14ac:dyDescent="0.15">
      <c r="A28" s="275" t="s">
        <v>115</v>
      </c>
      <c r="B28" s="276"/>
      <c r="C28" s="276"/>
      <c r="D28" s="264">
        <f>SUM(D23:D27)</f>
        <v>350000</v>
      </c>
      <c r="E28" s="252"/>
      <c r="F28" s="252"/>
    </row>
    <row r="29" spans="1:13" x14ac:dyDescent="0.15">
      <c r="E29" s="252"/>
      <c r="F29" s="252"/>
    </row>
    <row r="30" spans="1:13" x14ac:dyDescent="0.15">
      <c r="E30" s="252"/>
      <c r="F30" s="252"/>
    </row>
    <row r="31" spans="1:13" x14ac:dyDescent="0.15">
      <c r="E31" s="252"/>
      <c r="F31" s="252"/>
    </row>
    <row r="32" spans="1:13" x14ac:dyDescent="0.15">
      <c r="E32" s="252"/>
      <c r="F32" s="252"/>
    </row>
    <row r="33" spans="1:6" x14ac:dyDescent="0.15">
      <c r="A33" s="249"/>
      <c r="B33" s="248"/>
      <c r="C33" s="269"/>
      <c r="D33" s="252"/>
      <c r="E33" s="252"/>
      <c r="F33" s="252"/>
    </row>
    <row r="34" spans="1:6" x14ac:dyDescent="0.15">
      <c r="A34" s="267"/>
      <c r="B34" s="267"/>
      <c r="C34" s="269"/>
      <c r="D34" s="252"/>
      <c r="E34" s="252"/>
      <c r="F34" s="252"/>
    </row>
    <row r="35" spans="1:6" x14ac:dyDescent="0.15">
      <c r="A35" s="267"/>
      <c r="B35" s="267"/>
      <c r="C35" s="269"/>
      <c r="D35" s="252"/>
      <c r="E35" s="252"/>
      <c r="F35" s="252"/>
    </row>
    <row r="36" spans="1:6" x14ac:dyDescent="0.15">
      <c r="A36" s="250"/>
      <c r="B36" s="267"/>
      <c r="C36" s="269"/>
      <c r="D36" s="252"/>
      <c r="E36" s="252"/>
      <c r="F36" s="252"/>
    </row>
  </sheetData>
  <mergeCells count="2">
    <mergeCell ref="H11:H12"/>
    <mergeCell ref="H18:I18"/>
  </mergeCells>
  <phoneticPr fontId="4" type="noConversion"/>
  <pageMargins left="0.75" right="0.75" top="1" bottom="1" header="0" footer="0"/>
  <pageSetup paperSize="9" scale="70" orientation="landscape"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1"/>
  <sheetViews>
    <sheetView zoomScaleNormal="100" workbookViewId="0">
      <selection activeCell="D46" sqref="D46"/>
    </sheetView>
  </sheetViews>
  <sheetFormatPr baseColWidth="10" defaultColWidth="11" defaultRowHeight="14" x14ac:dyDescent="0.2"/>
  <cols>
    <col min="1" max="1" width="22.1640625" style="279" customWidth="1"/>
    <col min="2" max="2" width="11" style="279"/>
    <col min="3" max="3" width="17.1640625" style="279" customWidth="1"/>
    <col min="4" max="4" width="16.1640625" style="279" customWidth="1"/>
    <col min="5" max="16384" width="11" style="279"/>
  </cols>
  <sheetData>
    <row r="1" spans="1:4" x14ac:dyDescent="0.2">
      <c r="A1" s="298" t="s">
        <v>101</v>
      </c>
    </row>
    <row r="2" spans="1:4" x14ac:dyDescent="0.2">
      <c r="C2" s="299"/>
    </row>
    <row r="3" spans="1:4" x14ac:dyDescent="0.2">
      <c r="A3" s="300" t="s">
        <v>102</v>
      </c>
    </row>
    <row r="7" spans="1:4" x14ac:dyDescent="0.2">
      <c r="B7" s="301" t="s">
        <v>103</v>
      </c>
      <c r="C7" s="280"/>
      <c r="D7" s="280"/>
    </row>
    <row r="8" spans="1:4" x14ac:dyDescent="0.2">
      <c r="B8" s="281" t="s">
        <v>104</v>
      </c>
      <c r="C8" s="281" t="s">
        <v>105</v>
      </c>
      <c r="D8" s="281" t="s">
        <v>106</v>
      </c>
    </row>
    <row r="9" spans="1:4" x14ac:dyDescent="0.2">
      <c r="B9" s="281">
        <v>600000</v>
      </c>
      <c r="C9" s="281">
        <v>1400000</v>
      </c>
      <c r="D9" s="281">
        <v>3500000</v>
      </c>
    </row>
    <row r="10" spans="1:4" x14ac:dyDescent="0.2">
      <c r="B10" s="282"/>
      <c r="C10" s="283" t="s">
        <v>107</v>
      </c>
      <c r="D10" s="284">
        <v>0.1</v>
      </c>
    </row>
    <row r="13" spans="1:4" x14ac:dyDescent="0.2">
      <c r="A13" s="302" t="s">
        <v>108</v>
      </c>
      <c r="B13" s="303">
        <v>7.0000000000000007E-2</v>
      </c>
      <c r="C13" s="304">
        <v>6.99</v>
      </c>
    </row>
    <row r="14" spans="1:4" x14ac:dyDescent="0.2">
      <c r="B14" s="285" t="s">
        <v>109</v>
      </c>
    </row>
    <row r="15" spans="1:4" x14ac:dyDescent="0.2">
      <c r="A15" s="286" t="s">
        <v>117</v>
      </c>
      <c r="B15" s="287">
        <f>B9*0.07</f>
        <v>42000.000000000007</v>
      </c>
      <c r="C15" s="288">
        <f>B15*$C$13</f>
        <v>293580.00000000006</v>
      </c>
    </row>
    <row r="16" spans="1:4" x14ac:dyDescent="0.2">
      <c r="A16" s="286" t="s">
        <v>104</v>
      </c>
      <c r="B16" s="287">
        <f>C9*0.07</f>
        <v>98000.000000000015</v>
      </c>
      <c r="C16" s="288">
        <f t="shared" ref="C16:C17" si="0">B16*$C$13</f>
        <v>685020.00000000012</v>
      </c>
    </row>
    <row r="17" spans="1:4" x14ac:dyDescent="0.2">
      <c r="A17" s="286" t="s">
        <v>105</v>
      </c>
      <c r="B17" s="287">
        <f>D9*0.07</f>
        <v>245000.00000000003</v>
      </c>
      <c r="C17" s="288">
        <f t="shared" si="0"/>
        <v>1712550.0000000002</v>
      </c>
    </row>
    <row r="18" spans="1:4" x14ac:dyDescent="0.2">
      <c r="C18" s="289">
        <f>SUM(C15:C17)</f>
        <v>2691150.0000000005</v>
      </c>
    </row>
    <row r="22" spans="1:4" x14ac:dyDescent="0.2">
      <c r="A22" s="302" t="s">
        <v>110</v>
      </c>
      <c r="B22" s="305"/>
      <c r="C22" s="305" t="s">
        <v>111</v>
      </c>
      <c r="D22" s="306">
        <v>39</v>
      </c>
    </row>
    <row r="23" spans="1:4" x14ac:dyDescent="0.2">
      <c r="B23" s="285" t="s">
        <v>109</v>
      </c>
    </row>
    <row r="24" spans="1:4" x14ac:dyDescent="0.2">
      <c r="A24" s="286" t="s">
        <v>117</v>
      </c>
      <c r="B24" s="290">
        <v>15000</v>
      </c>
      <c r="C24" s="291">
        <f>B24*$D$22</f>
        <v>585000</v>
      </c>
    </row>
    <row r="25" spans="1:4" x14ac:dyDescent="0.2">
      <c r="A25" s="286" t="s">
        <v>104</v>
      </c>
      <c r="B25" s="290">
        <v>35000</v>
      </c>
      <c r="C25" s="291">
        <f t="shared" ref="C25:C26" si="1">B25*$D$22</f>
        <v>1365000</v>
      </c>
    </row>
    <row r="26" spans="1:4" x14ac:dyDescent="0.2">
      <c r="A26" s="286" t="s">
        <v>105</v>
      </c>
      <c r="B26" s="290">
        <v>50000</v>
      </c>
      <c r="C26" s="291">
        <f t="shared" si="1"/>
        <v>1950000</v>
      </c>
    </row>
    <row r="27" spans="1:4" x14ac:dyDescent="0.2">
      <c r="C27" s="292">
        <f>SUM(C24:C26)</f>
        <v>3900000</v>
      </c>
    </row>
    <row r="29" spans="1:4" x14ac:dyDescent="0.2">
      <c r="A29" s="302" t="s">
        <v>134</v>
      </c>
      <c r="B29" s="307"/>
      <c r="C29" s="303">
        <v>0.1</v>
      </c>
    </row>
    <row r="30" spans="1:4" x14ac:dyDescent="0.2">
      <c r="A30" s="293"/>
    </row>
    <row r="31" spans="1:4" x14ac:dyDescent="0.2">
      <c r="A31" s="302" t="s">
        <v>134</v>
      </c>
      <c r="B31" s="294" t="s">
        <v>103</v>
      </c>
      <c r="C31" s="290" t="s">
        <v>112</v>
      </c>
      <c r="D31" s="290" t="s">
        <v>113</v>
      </c>
    </row>
    <row r="32" spans="1:4" x14ac:dyDescent="0.2">
      <c r="A32" s="294" t="s">
        <v>117</v>
      </c>
      <c r="B32" s="295">
        <v>600000</v>
      </c>
      <c r="C32" s="296">
        <v>1.38</v>
      </c>
      <c r="D32" s="288">
        <f>B32*C32</f>
        <v>827999.99999999988</v>
      </c>
    </row>
    <row r="33" spans="1:4" x14ac:dyDescent="0.2">
      <c r="A33" s="294" t="s">
        <v>104</v>
      </c>
      <c r="B33" s="295">
        <v>1400000</v>
      </c>
      <c r="C33" s="296">
        <v>1.62</v>
      </c>
      <c r="D33" s="288">
        <f t="shared" ref="D33:D34" si="2">B33*C33</f>
        <v>2268000</v>
      </c>
    </row>
    <row r="34" spans="1:4" x14ac:dyDescent="0.2">
      <c r="A34" s="294" t="s">
        <v>105</v>
      </c>
      <c r="B34" s="295">
        <v>3500000</v>
      </c>
      <c r="C34" s="296">
        <v>2.46</v>
      </c>
      <c r="D34" s="288">
        <f t="shared" si="2"/>
        <v>8610000</v>
      </c>
    </row>
    <row r="35" spans="1:4" x14ac:dyDescent="0.2">
      <c r="D35" s="288">
        <f>SUM(D32:D34)</f>
        <v>11706000</v>
      </c>
    </row>
    <row r="37" spans="1:4" x14ac:dyDescent="0.2">
      <c r="A37" s="297" t="s">
        <v>114</v>
      </c>
    </row>
    <row r="38" spans="1:4" x14ac:dyDescent="0.2">
      <c r="A38" s="297"/>
      <c r="B38" s="281" t="s">
        <v>117</v>
      </c>
      <c r="C38" s="281" t="s">
        <v>104</v>
      </c>
      <c r="D38" s="281" t="s">
        <v>105</v>
      </c>
    </row>
    <row r="39" spans="1:4" x14ac:dyDescent="0.2">
      <c r="A39" s="286" t="s">
        <v>93</v>
      </c>
      <c r="B39" s="296"/>
      <c r="C39" s="310">
        <v>75000</v>
      </c>
      <c r="D39" s="310">
        <v>100000</v>
      </c>
    </row>
    <row r="40" spans="1:4" x14ac:dyDescent="0.2">
      <c r="A40" s="309" t="s">
        <v>99</v>
      </c>
      <c r="B40" s="296"/>
      <c r="C40" s="310">
        <v>25000</v>
      </c>
      <c r="D40" s="310">
        <v>50000</v>
      </c>
    </row>
    <row r="41" spans="1:4" x14ac:dyDescent="0.2">
      <c r="A41" s="308" t="s">
        <v>115</v>
      </c>
      <c r="B41" s="288">
        <f>SUM(B39:B39)</f>
        <v>0</v>
      </c>
      <c r="C41" s="310">
        <f>SUM(C39:C39)</f>
        <v>75000</v>
      </c>
      <c r="D41" s="310">
        <f>SUM(D39:D39)</f>
        <v>100000</v>
      </c>
    </row>
  </sheetData>
  <phoneticPr fontId="4" type="noConversion"/>
  <pageMargins left="0.75" right="0.75" top="1" bottom="1" header="0" footer="0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11</vt:i4>
      </vt:variant>
    </vt:vector>
  </HeadingPairs>
  <TitlesOfParts>
    <vt:vector size="19" baseType="lpstr">
      <vt:lpstr>Definición</vt:lpstr>
      <vt:lpstr>Inversiones y Costes</vt:lpstr>
      <vt:lpstr>Reducción Gastos</vt:lpstr>
      <vt:lpstr>Ingresos</vt:lpstr>
      <vt:lpstr>Riesgos</vt:lpstr>
      <vt:lpstr>ROI</vt:lpstr>
      <vt:lpstr>datos costes</vt:lpstr>
      <vt:lpstr>datos ingresos</vt:lpstr>
      <vt:lpstr>Definición!Área_de_impresión</vt:lpstr>
      <vt:lpstr>Ingresos!Área_de_impresión</vt:lpstr>
      <vt:lpstr>'Inversiones y Costes'!Área_de_impresión</vt:lpstr>
      <vt:lpstr>'Reducción Gastos'!Área_de_impresión</vt:lpstr>
      <vt:lpstr>Riesgos!Área_de_impresión</vt:lpstr>
      <vt:lpstr>ROI!Área_de_impresión</vt:lpstr>
      <vt:lpstr>Impacto</vt:lpstr>
      <vt:lpstr>Probabilidad</vt:lpstr>
      <vt:lpstr>Ingresos!Títulos_a_imprimir</vt:lpstr>
      <vt:lpstr>'Inversiones y Costes'!Títulos_a_imprimir</vt:lpstr>
      <vt:lpstr>'Reducción Gastos'!Títulos_a_imprimir</vt:lpstr>
    </vt:vector>
  </TitlesOfParts>
  <Company>JdPH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Cálculo ROI proyecto BI - Big Data</dc:title>
  <dc:subject>Ejercicio práctico</dc:subject>
  <dc:creator>Jaime del Pozo Hernando</dc:creator>
  <cp:keywords>Business Case, ROI, BI</cp:keywords>
  <dc:description>Herramienta excel preparada para dar soporte al ejercicio de Business Case de un proyecto de BI</dc:description>
  <cp:lastModifiedBy>Microsoft Office User</cp:lastModifiedBy>
  <cp:lastPrinted>2014-06-05T23:35:40Z</cp:lastPrinted>
  <dcterms:created xsi:type="dcterms:W3CDTF">1996-11-27T10:00:04Z</dcterms:created>
  <dcterms:modified xsi:type="dcterms:W3CDTF">2021-12-29T09:26:46Z</dcterms:modified>
</cp:coreProperties>
</file>